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rocchim/Library/Mobile Documents/com~apple~CloudDocs/_LAVORO 2026/_GARE 2026/SACE - Salesforce/"/>
    </mc:Choice>
  </mc:AlternateContent>
  <xr:revisionPtr revIDLastSave="0" documentId="13_ncr:1_{3E193432-0C62-A942-8FD1-A585FA10C0EF}" xr6:coauthVersionLast="47" xr6:coauthVersionMax="47" xr10:uidLastSave="{00000000-0000-0000-0000-000000000000}"/>
  <bookViews>
    <workbookView xWindow="540" yWindow="640" windowWidth="29160" windowHeight="17920" tabRatio="904" xr2:uid="{00000000-000D-0000-FFFF-FFFF00000000}"/>
  </bookViews>
  <sheets>
    <sheet name="GARA" sheetId="8" r:id="rId1"/>
    <sheet name="PUNTEGGIO TECNICO" sheetId="16" r:id="rId2"/>
    <sheet name="PUNTEGGIO ECONOMICO" sheetId="1" r:id="rId3"/>
    <sheet name="PUNTEGGIO TOTALE" sheetId="9" r:id="rId4"/>
    <sheet name="COST MODEL" sheetId="2" r:id="rId5"/>
    <sheet name="GIUSTIFICAZIONE" sheetId="4" r:id="rId6"/>
    <sheet name="MANODOPERA DA CCNL" sheetId="5" r:id="rId7"/>
    <sheet name="CCNL" sheetId="10" r:id="rId8"/>
    <sheet name="CCNL APPRENDISTI" sheetId="21" r:id="rId9"/>
    <sheet name="ONERI SICUREZZA" sheetId="20" r:id="rId10"/>
    <sheet name="ECONOMICA" sheetId="22" r:id="rId11"/>
    <sheet name="PROFILI PROFESSIONALI" sheetId="23" r:id="rId12"/>
    <sheet name="ALTRI REQUISITI" sheetId="24" r:id="rId13"/>
    <sheet name="OGGETTO FORNITURA E SERVIZI" sheetId="25" r:id="rId14"/>
    <sheet name="DICHIARAZIONE OFFERTA ECONOMICA" sheetId="26" r:id="rId15"/>
  </sheets>
  <definedNames>
    <definedName name="_xlnm._FilterDatabase" localSheetId="0" hidden="1">GARA!#REF!</definedName>
    <definedName name="_xlnm._FilterDatabase" localSheetId="2" hidden="1">'PUNTEGGIO ECONOMICO'!$B$1:$D$11</definedName>
    <definedName name="_xlnm._FilterDatabase" localSheetId="3" hidden="1">'PUNTEGGIO TOTALE'!$B$1:$E$11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6" l="1"/>
  <c r="G10" i="26"/>
  <c r="F10" i="26"/>
  <c r="J9" i="26"/>
  <c r="H9" i="26"/>
  <c r="G9" i="26"/>
  <c r="I9" i="26" s="1"/>
  <c r="F9" i="26"/>
  <c r="J8" i="26"/>
  <c r="H8" i="26"/>
  <c r="G8" i="26"/>
  <c r="I8" i="26" s="1"/>
  <c r="F8" i="26"/>
  <c r="H7" i="26"/>
  <c r="G7" i="26"/>
  <c r="F7" i="26"/>
  <c r="H4" i="26"/>
  <c r="G4" i="26"/>
  <c r="F4" i="26"/>
  <c r="G27" i="25"/>
  <c r="G25" i="25"/>
  <c r="G24" i="25"/>
  <c r="G22" i="25"/>
  <c r="G21" i="25"/>
  <c r="G19" i="25"/>
  <c r="G18" i="25"/>
  <c r="K16" i="25"/>
  <c r="G15" i="25"/>
  <c r="G14" i="25"/>
  <c r="G13" i="25"/>
  <c r="G11" i="25"/>
  <c r="G10" i="25"/>
  <c r="G8" i="25"/>
  <c r="G7" i="25"/>
  <c r="B15" i="24"/>
  <c r="L8" i="23"/>
  <c r="H8" i="23"/>
  <c r="B8" i="23"/>
  <c r="K3" i="23"/>
  <c r="E9" i="22"/>
  <c r="E8" i="22"/>
  <c r="E7" i="22"/>
  <c r="E6" i="22"/>
  <c r="E5" i="22"/>
  <c r="E4" i="22"/>
  <c r="E3" i="22"/>
  <c r="G2" i="22"/>
  <c r="G4" i="22" s="1"/>
  <c r="E2" i="22"/>
  <c r="C22" i="20"/>
  <c r="C18" i="20"/>
  <c r="C15" i="20"/>
  <c r="C13" i="20"/>
  <c r="C12" i="20"/>
  <c r="C10" i="20"/>
  <c r="C9" i="20"/>
  <c r="C8" i="20"/>
  <c r="C7" i="20"/>
  <c r="C6" i="20"/>
  <c r="B39" i="21"/>
  <c r="B31" i="21"/>
  <c r="B40" i="21" s="1"/>
  <c r="B41" i="21" s="1"/>
  <c r="F23" i="21"/>
  <c r="E23" i="21"/>
  <c r="D23" i="21"/>
  <c r="C23" i="21"/>
  <c r="F21" i="21"/>
  <c r="E21" i="21"/>
  <c r="D21" i="21"/>
  <c r="C21" i="21"/>
  <c r="B16" i="21"/>
  <c r="F13" i="21"/>
  <c r="F22" i="21" s="1"/>
  <c r="E13" i="21"/>
  <c r="E22" i="21" s="1"/>
  <c r="D13" i="21"/>
  <c r="D22" i="21" s="1"/>
  <c r="F11" i="21"/>
  <c r="F12" i="21" s="1"/>
  <c r="E11" i="21"/>
  <c r="E12" i="21" s="1"/>
  <c r="D11" i="21"/>
  <c r="D12" i="21" s="1"/>
  <c r="F9" i="21"/>
  <c r="E9" i="21"/>
  <c r="D9" i="21"/>
  <c r="C9" i="21"/>
  <c r="F8" i="21"/>
  <c r="F10" i="21" s="1"/>
  <c r="E8" i="21"/>
  <c r="E10" i="21" s="1"/>
  <c r="D8" i="21"/>
  <c r="D10" i="21" s="1"/>
  <c r="C8" i="21"/>
  <c r="C7" i="21"/>
  <c r="B39" i="10"/>
  <c r="B31" i="10"/>
  <c r="B40" i="10" s="1"/>
  <c r="B41" i="10" s="1"/>
  <c r="F2" i="25" s="1"/>
  <c r="K23" i="10"/>
  <c r="J23" i="10"/>
  <c r="I23" i="10"/>
  <c r="H23" i="10"/>
  <c r="G23" i="10"/>
  <c r="F23" i="10"/>
  <c r="E23" i="10"/>
  <c r="D23" i="10"/>
  <c r="C23" i="10"/>
  <c r="K21" i="10"/>
  <c r="J21" i="10"/>
  <c r="I21" i="10"/>
  <c r="H21" i="10"/>
  <c r="G21" i="10"/>
  <c r="F21" i="10"/>
  <c r="E21" i="10"/>
  <c r="D21" i="10"/>
  <c r="C21" i="10"/>
  <c r="B16" i="10"/>
  <c r="K9" i="10"/>
  <c r="J9" i="10"/>
  <c r="I9" i="10"/>
  <c r="H9" i="10"/>
  <c r="G9" i="10"/>
  <c r="F9" i="10"/>
  <c r="E9" i="10"/>
  <c r="D9" i="10"/>
  <c r="C9" i="10"/>
  <c r="K8" i="10"/>
  <c r="J8" i="10"/>
  <c r="I8" i="10"/>
  <c r="H8" i="10"/>
  <c r="G8" i="10"/>
  <c r="F8" i="10"/>
  <c r="E8" i="10"/>
  <c r="D8" i="10"/>
  <c r="C8" i="10"/>
  <c r="K7" i="10"/>
  <c r="J7" i="10"/>
  <c r="I7" i="10"/>
  <c r="H7" i="10"/>
  <c r="G7" i="10"/>
  <c r="F7" i="10"/>
  <c r="E7" i="10"/>
  <c r="D7" i="10"/>
  <c r="C7" i="10"/>
  <c r="D4" i="10"/>
  <c r="C4" i="10"/>
  <c r="N12" i="5"/>
  <c r="J12" i="5"/>
  <c r="H11" i="5"/>
  <c r="F11" i="5"/>
  <c r="H10" i="5"/>
  <c r="F10" i="5"/>
  <c r="F9" i="5"/>
  <c r="H8" i="5"/>
  <c r="F8" i="5"/>
  <c r="H7" i="5"/>
  <c r="F7" i="5"/>
  <c r="H6" i="5"/>
  <c r="F6" i="5"/>
  <c r="F5" i="5"/>
  <c r="H4" i="5"/>
  <c r="F4" i="5"/>
  <c r="H3" i="5"/>
  <c r="F3" i="5"/>
  <c r="C3" i="4"/>
  <c r="C63" i="2"/>
  <c r="C9" i="4" s="1"/>
  <c r="D52" i="2"/>
  <c r="C52" i="2"/>
  <c r="D51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D6" i="2"/>
  <c r="C5" i="2"/>
  <c r="D4" i="2"/>
  <c r="J3" i="2"/>
  <c r="J7" i="2" s="1"/>
  <c r="C3" i="2"/>
  <c r="A11" i="9"/>
  <c r="A10" i="9"/>
  <c r="A9" i="9"/>
  <c r="A8" i="9"/>
  <c r="A7" i="9"/>
  <c r="A6" i="9"/>
  <c r="A5" i="9"/>
  <c r="A4" i="9"/>
  <c r="A3" i="9"/>
  <c r="A2" i="9"/>
  <c r="B13" i="1"/>
  <c r="A11" i="1"/>
  <c r="A10" i="1"/>
  <c r="A9" i="1"/>
  <c r="A8" i="1"/>
  <c r="A7" i="1"/>
  <c r="A6" i="1"/>
  <c r="A5" i="1"/>
  <c r="A4" i="1"/>
  <c r="B3" i="1"/>
  <c r="A3" i="1"/>
  <c r="A2" i="1"/>
  <c r="H23" i="16"/>
  <c r="H35" i="16" s="1"/>
  <c r="G23" i="16"/>
  <c r="G35" i="16" s="1"/>
  <c r="F23" i="16"/>
  <c r="F35" i="16" s="1"/>
  <c r="E23" i="16"/>
  <c r="E35" i="16" s="1"/>
  <c r="D23" i="16"/>
  <c r="D35" i="16" s="1"/>
  <c r="C23" i="16"/>
  <c r="C35" i="16" s="1"/>
  <c r="B23" i="16"/>
  <c r="B35" i="16" s="1"/>
  <c r="J11" i="16" s="1"/>
  <c r="B11" i="9" s="1"/>
  <c r="A23" i="16"/>
  <c r="A35" i="16" s="1"/>
  <c r="H22" i="16"/>
  <c r="H34" i="16" s="1"/>
  <c r="G22" i="16"/>
  <c r="G34" i="16" s="1"/>
  <c r="F22" i="16"/>
  <c r="F34" i="16" s="1"/>
  <c r="E22" i="16"/>
  <c r="E34" i="16" s="1"/>
  <c r="D22" i="16"/>
  <c r="D34" i="16" s="1"/>
  <c r="C22" i="16"/>
  <c r="C34" i="16" s="1"/>
  <c r="B22" i="16"/>
  <c r="A22" i="16"/>
  <c r="A34" i="16" s="1"/>
  <c r="H21" i="16"/>
  <c r="H33" i="16" s="1"/>
  <c r="G21" i="16"/>
  <c r="G33" i="16" s="1"/>
  <c r="F21" i="16"/>
  <c r="F33" i="16" s="1"/>
  <c r="E21" i="16"/>
  <c r="E33" i="16" s="1"/>
  <c r="D21" i="16"/>
  <c r="D33" i="16" s="1"/>
  <c r="C21" i="16"/>
  <c r="C33" i="16" s="1"/>
  <c r="B21" i="16"/>
  <c r="B33" i="16" s="1"/>
  <c r="J9" i="16" s="1"/>
  <c r="B9" i="9" s="1"/>
  <c r="A21" i="16"/>
  <c r="A33" i="16" s="1"/>
  <c r="H20" i="16"/>
  <c r="H32" i="16" s="1"/>
  <c r="G20" i="16"/>
  <c r="G32" i="16" s="1"/>
  <c r="F20" i="16"/>
  <c r="F32" i="16" s="1"/>
  <c r="E20" i="16"/>
  <c r="E32" i="16" s="1"/>
  <c r="D20" i="16"/>
  <c r="D32" i="16" s="1"/>
  <c r="C20" i="16"/>
  <c r="C32" i="16" s="1"/>
  <c r="B20" i="16"/>
  <c r="B32" i="16" s="1"/>
  <c r="J8" i="16" s="1"/>
  <c r="B8" i="9" s="1"/>
  <c r="A20" i="16"/>
  <c r="A32" i="16" s="1"/>
  <c r="H19" i="16"/>
  <c r="H31" i="16" s="1"/>
  <c r="G19" i="16"/>
  <c r="G31" i="16" s="1"/>
  <c r="F19" i="16"/>
  <c r="F31" i="16" s="1"/>
  <c r="E19" i="16"/>
  <c r="E31" i="16" s="1"/>
  <c r="D19" i="16"/>
  <c r="D31" i="16" s="1"/>
  <c r="C19" i="16"/>
  <c r="C31" i="16" s="1"/>
  <c r="B19" i="16"/>
  <c r="B31" i="16" s="1"/>
  <c r="J7" i="16" s="1"/>
  <c r="B7" i="9" s="1"/>
  <c r="A19" i="16"/>
  <c r="A31" i="16" s="1"/>
  <c r="H18" i="16"/>
  <c r="H30" i="16" s="1"/>
  <c r="G18" i="16"/>
  <c r="G30" i="16" s="1"/>
  <c r="F18" i="16"/>
  <c r="F30" i="16" s="1"/>
  <c r="E18" i="16"/>
  <c r="E30" i="16" s="1"/>
  <c r="D18" i="16"/>
  <c r="D30" i="16" s="1"/>
  <c r="C18" i="16"/>
  <c r="C30" i="16" s="1"/>
  <c r="B18" i="16"/>
  <c r="B30" i="16" s="1"/>
  <c r="J6" i="16" s="1"/>
  <c r="B6" i="9" s="1"/>
  <c r="A18" i="16"/>
  <c r="A30" i="16" s="1"/>
  <c r="H17" i="16"/>
  <c r="H29" i="16" s="1"/>
  <c r="G17" i="16"/>
  <c r="G29" i="16" s="1"/>
  <c r="F17" i="16"/>
  <c r="F29" i="16" s="1"/>
  <c r="E17" i="16"/>
  <c r="E29" i="16" s="1"/>
  <c r="D17" i="16"/>
  <c r="D29" i="16" s="1"/>
  <c r="C17" i="16"/>
  <c r="C29" i="16" s="1"/>
  <c r="B17" i="16"/>
  <c r="B29" i="16" s="1"/>
  <c r="J5" i="16" s="1"/>
  <c r="B5" i="9" s="1"/>
  <c r="A17" i="16"/>
  <c r="A29" i="16" s="1"/>
  <c r="H16" i="16"/>
  <c r="H28" i="16" s="1"/>
  <c r="G16" i="16"/>
  <c r="G28" i="16" s="1"/>
  <c r="F16" i="16"/>
  <c r="F28" i="16" s="1"/>
  <c r="E16" i="16"/>
  <c r="E28" i="16" s="1"/>
  <c r="D16" i="16"/>
  <c r="D28" i="16" s="1"/>
  <c r="C16" i="16"/>
  <c r="C28" i="16" s="1"/>
  <c r="B16" i="16"/>
  <c r="B28" i="16" s="1"/>
  <c r="J4" i="16" s="1"/>
  <c r="B4" i="9" s="1"/>
  <c r="A16" i="16"/>
  <c r="A28" i="16" s="1"/>
  <c r="H15" i="16"/>
  <c r="H27" i="16" s="1"/>
  <c r="G15" i="16"/>
  <c r="G27" i="16" s="1"/>
  <c r="F15" i="16"/>
  <c r="F27" i="16" s="1"/>
  <c r="E15" i="16"/>
  <c r="E27" i="16" s="1"/>
  <c r="D15" i="16"/>
  <c r="D27" i="16" s="1"/>
  <c r="C15" i="16"/>
  <c r="C27" i="16" s="1"/>
  <c r="B15" i="16"/>
  <c r="B27" i="16" s="1"/>
  <c r="J3" i="16" s="1"/>
  <c r="B3" i="9" s="1"/>
  <c r="A15" i="16"/>
  <c r="A27" i="16" s="1"/>
  <c r="H14" i="16"/>
  <c r="H26" i="16" s="1"/>
  <c r="G14" i="16"/>
  <c r="G26" i="16" s="1"/>
  <c r="F14" i="16"/>
  <c r="F26" i="16" s="1"/>
  <c r="E14" i="16"/>
  <c r="E26" i="16" s="1"/>
  <c r="D14" i="16"/>
  <c r="D26" i="16" s="1"/>
  <c r="C14" i="16"/>
  <c r="C26" i="16" s="1"/>
  <c r="B14" i="16" a="1"/>
  <c r="B26" i="16" s="1"/>
  <c r="J2" i="16" s="1"/>
  <c r="B2" i="9" s="1"/>
  <c r="A14" i="16"/>
  <c r="A26" i="16" s="1"/>
  <c r="N11" i="16"/>
  <c r="I11" i="16"/>
  <c r="N10" i="16"/>
  <c r="N9" i="16"/>
  <c r="I9" i="16"/>
  <c r="I8" i="16"/>
  <c r="I7" i="16"/>
  <c r="I6" i="16"/>
  <c r="I5" i="16"/>
  <c r="I4" i="16"/>
  <c r="I3" i="16"/>
  <c r="I2" i="16"/>
  <c r="J10" i="26" l="1"/>
  <c r="I10" i="26"/>
  <c r="J7" i="26"/>
  <c r="I7" i="26"/>
  <c r="J4" i="26"/>
  <c r="J14" i="26" s="1"/>
  <c r="I4" i="26"/>
  <c r="I14" i="26" s="1"/>
  <c r="J27" i="25"/>
  <c r="I27" i="25"/>
  <c r="K27" i="25" s="1"/>
  <c r="J25" i="25"/>
  <c r="I25" i="25"/>
  <c r="K25" i="25" s="1"/>
  <c r="J24" i="25"/>
  <c r="I24" i="25"/>
  <c r="K24" i="25" s="1"/>
  <c r="J22" i="25"/>
  <c r="I22" i="25"/>
  <c r="K22" i="25" s="1"/>
  <c r="J21" i="25"/>
  <c r="I21" i="25"/>
  <c r="K21" i="25" s="1"/>
  <c r="J19" i="25"/>
  <c r="I19" i="25"/>
  <c r="K19" i="25" s="1"/>
  <c r="J18" i="25"/>
  <c r="I18" i="25"/>
  <c r="K18" i="25" s="1"/>
  <c r="J15" i="25"/>
  <c r="I15" i="25"/>
  <c r="K15" i="25" s="1"/>
  <c r="J14" i="25"/>
  <c r="I14" i="25"/>
  <c r="K14" i="25" s="1"/>
  <c r="J13" i="25"/>
  <c r="I13" i="25"/>
  <c r="K13" i="25" s="1"/>
  <c r="I11" i="25"/>
  <c r="E10" i="22"/>
  <c r="H2" i="22"/>
  <c r="F14" i="21"/>
  <c r="F16" i="21"/>
  <c r="E14" i="21"/>
  <c r="E16" i="21"/>
  <c r="D14" i="21"/>
  <c r="D16" i="21"/>
  <c r="C13" i="21"/>
  <c r="C22" i="21" s="1"/>
  <c r="C11" i="21"/>
  <c r="C12" i="21" s="1"/>
  <c r="C10" i="21"/>
  <c r="I5" i="25"/>
  <c r="J5" i="25"/>
  <c r="K10" i="10"/>
  <c r="K13" i="10"/>
  <c r="K22" i="10"/>
  <c r="K11" i="10"/>
  <c r="K12" i="10" s="1"/>
  <c r="J11" i="10"/>
  <c r="J12" i="10" s="1"/>
  <c r="J13" i="10"/>
  <c r="J22" i="10" s="1"/>
  <c r="J10" i="10"/>
  <c r="I11" i="10"/>
  <c r="I12" i="10" s="1"/>
  <c r="I13" i="10"/>
  <c r="I10" i="10"/>
  <c r="I22" i="10"/>
  <c r="H10" i="10"/>
  <c r="H11" i="10"/>
  <c r="H12" i="10" s="1"/>
  <c r="H13" i="10"/>
  <c r="H22" i="10"/>
  <c r="G11" i="10"/>
  <c r="G12" i="10" s="1"/>
  <c r="G13" i="10"/>
  <c r="G10" i="10"/>
  <c r="G22" i="10"/>
  <c r="F10" i="10"/>
  <c r="F11" i="10"/>
  <c r="F12" i="10" s="1"/>
  <c r="F13" i="10"/>
  <c r="F22" i="10"/>
  <c r="E11" i="10"/>
  <c r="E12" i="10" s="1"/>
  <c r="E10" i="10"/>
  <c r="E13" i="10"/>
  <c r="E22" i="10"/>
  <c r="D11" i="10"/>
  <c r="D12" i="10" s="1"/>
  <c r="D10" i="10"/>
  <c r="D13" i="10"/>
  <c r="D22" i="10" s="1"/>
  <c r="C10" i="10"/>
  <c r="C11" i="10"/>
  <c r="C12" i="10" s="1"/>
  <c r="C13" i="10"/>
  <c r="C22" i="10" s="1"/>
  <c r="D53" i="2"/>
  <c r="C53" i="2" s="1"/>
  <c r="C6" i="2"/>
  <c r="D54" i="2"/>
  <c r="C4" i="2"/>
  <c r="C54" i="2" s="1"/>
  <c r="J2" i="2" s="1"/>
  <c r="J6" i="2" s="1"/>
  <c r="J8" i="2" s="1"/>
  <c r="J9" i="2" s="1"/>
  <c r="J10" i="2" s="1"/>
  <c r="C3" i="1"/>
  <c r="B4" i="1"/>
  <c r="I10" i="16"/>
  <c r="B34" i="16"/>
  <c r="J10" i="16" s="1"/>
  <c r="B10" i="9" s="1"/>
  <c r="C11" i="4" l="1"/>
  <c r="C2" i="1"/>
  <c r="J12" i="2"/>
  <c r="J13" i="2" s="1"/>
  <c r="J14" i="2" s="1"/>
  <c r="F15" i="21"/>
  <c r="F17" i="21" s="1"/>
  <c r="F18" i="21"/>
  <c r="F19" i="21" s="1"/>
  <c r="F20" i="21"/>
  <c r="F24" i="21"/>
  <c r="F25" i="21" s="1"/>
  <c r="F26" i="21" s="1"/>
  <c r="F27" i="21" s="1"/>
  <c r="E15" i="21"/>
  <c r="E17" i="21" s="1"/>
  <c r="E18" i="21"/>
  <c r="E19" i="21" s="1"/>
  <c r="E20" i="21"/>
  <c r="E24" i="21"/>
  <c r="E25" i="21" s="1"/>
  <c r="E26" i="21" s="1"/>
  <c r="E27" i="21" s="1"/>
  <c r="D15" i="21"/>
  <c r="D17" i="21" s="1"/>
  <c r="D18" i="21"/>
  <c r="D19" i="21" s="1"/>
  <c r="D20" i="21"/>
  <c r="D24" i="21"/>
  <c r="D25" i="21" s="1"/>
  <c r="D26" i="21" s="1"/>
  <c r="D27" i="21" s="1"/>
  <c r="C14" i="21"/>
  <c r="C16" i="21"/>
  <c r="K5" i="25"/>
  <c r="K29" i="25" s="1"/>
  <c r="I29" i="25"/>
  <c r="K14" i="10"/>
  <c r="K16" i="10"/>
  <c r="J14" i="10"/>
  <c r="J16" i="10"/>
  <c r="I14" i="10"/>
  <c r="I16" i="10"/>
  <c r="H14" i="10"/>
  <c r="H16" i="10"/>
  <c r="G14" i="10"/>
  <c r="G16" i="10"/>
  <c r="F14" i="10"/>
  <c r="F16" i="10"/>
  <c r="E14" i="10"/>
  <c r="E16" i="10"/>
  <c r="D14" i="10"/>
  <c r="D16" i="10"/>
  <c r="C14" i="10"/>
  <c r="C16" i="10"/>
  <c r="H2" i="2"/>
  <c r="C14" i="5"/>
  <c r="C16" i="5" s="1"/>
  <c r="C4" i="1"/>
  <c r="B5" i="1"/>
  <c r="I10" i="25"/>
  <c r="I8" i="25"/>
  <c r="I7" i="25"/>
  <c r="J29" i="25"/>
  <c r="J11" i="25"/>
  <c r="K11" i="25" s="1"/>
  <c r="J10" i="25"/>
  <c r="J8" i="25"/>
  <c r="J7" i="25"/>
  <c r="C5" i="4" l="1"/>
  <c r="B2" i="1"/>
  <c r="C15" i="21"/>
  <c r="C17" i="21" s="1"/>
  <c r="C18" i="21"/>
  <c r="C19" i="21" s="1"/>
  <c r="C20" i="21"/>
  <c r="C24" i="21"/>
  <c r="C25" i="21" s="1"/>
  <c r="C26" i="21" s="1"/>
  <c r="C27" i="21" s="1"/>
  <c r="K15" i="10"/>
  <c r="K17" i="10" s="1"/>
  <c r="K18" i="10"/>
  <c r="K19" i="10" s="1"/>
  <c r="K20" i="10"/>
  <c r="K24" i="10"/>
  <c r="K25" i="10" s="1"/>
  <c r="K26" i="10" s="1"/>
  <c r="K27" i="10" s="1"/>
  <c r="J15" i="10"/>
  <c r="J17" i="10" s="1"/>
  <c r="J18" i="10"/>
  <c r="J19" i="10" s="1"/>
  <c r="J20" i="10"/>
  <c r="J24" i="10"/>
  <c r="J25" i="10" s="1"/>
  <c r="J26" i="10" s="1"/>
  <c r="J27" i="10" s="1"/>
  <c r="G10" i="5" s="1"/>
  <c r="I10" i="5" s="1"/>
  <c r="I15" i="10"/>
  <c r="I17" i="10" s="1"/>
  <c r="I18" i="10"/>
  <c r="I19" i="10" s="1"/>
  <c r="I20" i="10"/>
  <c r="I24" i="10"/>
  <c r="I25" i="10" s="1"/>
  <c r="I26" i="10" s="1"/>
  <c r="I27" i="10" s="1"/>
  <c r="H15" i="10"/>
  <c r="H17" i="10" s="1"/>
  <c r="H18" i="10"/>
  <c r="H19" i="10" s="1"/>
  <c r="H20" i="10"/>
  <c r="H24" i="10"/>
  <c r="H25" i="10" s="1"/>
  <c r="H26" i="10" s="1"/>
  <c r="H27" i="10" s="1"/>
  <c r="G15" i="10"/>
  <c r="G17" i="10" s="1"/>
  <c r="G18" i="10"/>
  <c r="G19" i="10" s="1"/>
  <c r="G20" i="10"/>
  <c r="G24" i="10"/>
  <c r="G25" i="10" s="1"/>
  <c r="G26" i="10" s="1"/>
  <c r="G27" i="10" s="1"/>
  <c r="F15" i="10"/>
  <c r="F17" i="10" s="1"/>
  <c r="F18" i="10"/>
  <c r="F19" i="10" s="1"/>
  <c r="F20" i="10"/>
  <c r="F24" i="10"/>
  <c r="F25" i="10" s="1"/>
  <c r="F26" i="10" s="1"/>
  <c r="F27" i="10" s="1"/>
  <c r="E15" i="10"/>
  <c r="E17" i="10" s="1"/>
  <c r="E18" i="10"/>
  <c r="E19" i="10" s="1"/>
  <c r="E20" i="10"/>
  <c r="E24" i="10"/>
  <c r="E25" i="10" s="1"/>
  <c r="E26" i="10" s="1"/>
  <c r="E27" i="10" s="1"/>
  <c r="G3" i="5" s="1"/>
  <c r="I3" i="5" s="1"/>
  <c r="D15" i="10"/>
  <c r="D17" i="10" s="1"/>
  <c r="D18" i="10"/>
  <c r="D19" i="10" s="1"/>
  <c r="D20" i="10"/>
  <c r="D24" i="10"/>
  <c r="D25" i="10" s="1"/>
  <c r="D26" i="10" s="1"/>
  <c r="D27" i="10" s="1"/>
  <c r="C15" i="10"/>
  <c r="C17" i="10" s="1"/>
  <c r="C18" i="10"/>
  <c r="C19" i="10" s="1"/>
  <c r="C20" i="10"/>
  <c r="C24" i="10"/>
  <c r="C25" i="10" s="1"/>
  <c r="C26" i="10" s="1"/>
  <c r="L3" i="5"/>
  <c r="L4" i="5"/>
  <c r="L5" i="5"/>
  <c r="L8" i="5"/>
  <c r="L9" i="5"/>
  <c r="L6" i="5"/>
  <c r="L7" i="5"/>
  <c r="L10" i="5"/>
  <c r="L11" i="5"/>
  <c r="C5" i="1"/>
  <c r="B6" i="1"/>
  <c r="K10" i="25"/>
  <c r="K8" i="25"/>
  <c r="K7" i="25"/>
  <c r="C4" i="20" l="1"/>
  <c r="C20" i="20"/>
  <c r="C21" i="20"/>
  <c r="G5" i="5"/>
  <c r="H5" i="5"/>
  <c r="G7" i="5"/>
  <c r="I7" i="5" s="1"/>
  <c r="M7" i="5" s="1"/>
  <c r="G9" i="5"/>
  <c r="I9" i="5" s="1"/>
  <c r="M9" i="5" s="1"/>
  <c r="G4" i="5"/>
  <c r="I4" i="5" s="1"/>
  <c r="M4" i="5" s="1"/>
  <c r="H9" i="5"/>
  <c r="G6" i="5"/>
  <c r="I6" i="5" s="1"/>
  <c r="M6" i="5" s="1"/>
  <c r="G8" i="5"/>
  <c r="I8" i="5" s="1"/>
  <c r="M8" i="5" s="1"/>
  <c r="G11" i="5"/>
  <c r="I11" i="5" s="1"/>
  <c r="M11" i="5" s="1"/>
  <c r="C27" i="10"/>
  <c r="C5" i="20"/>
  <c r="M3" i="5"/>
  <c r="L12" i="5"/>
  <c r="C6" i="4" s="1"/>
  <c r="C6" i="1"/>
  <c r="B7" i="1"/>
  <c r="M10" i="5"/>
  <c r="C7" i="1" l="1"/>
  <c r="B8" i="1"/>
  <c r="C3" i="20"/>
  <c r="C19" i="20"/>
  <c r="I5" i="5"/>
  <c r="M5" i="5" s="1"/>
  <c r="M12" i="5" s="1"/>
  <c r="C2" i="4" s="1"/>
  <c r="C8" i="1" l="1"/>
  <c r="B9" i="1"/>
  <c r="C4" i="4"/>
  <c r="C24" i="20"/>
  <c r="D3" i="20"/>
  <c r="B10" i="1" l="1"/>
  <c r="C9" i="1"/>
  <c r="D19" i="20"/>
  <c r="D6" i="20"/>
  <c r="D10" i="20"/>
  <c r="D13" i="20"/>
  <c r="D22" i="20"/>
  <c r="C26" i="20"/>
  <c r="C25" i="20" s="1"/>
  <c r="B8" i="4" s="1"/>
  <c r="C8" i="4" s="1"/>
  <c r="C10" i="1" l="1"/>
  <c r="B11" i="1"/>
  <c r="C10" i="4"/>
  <c r="D8" i="4"/>
  <c r="D9" i="1" l="1"/>
  <c r="D4" i="1"/>
  <c r="D5" i="1"/>
  <c r="C11" i="1"/>
  <c r="B18" i="1" s="1"/>
  <c r="D11" i="1"/>
  <c r="D2" i="4"/>
  <c r="D4" i="4"/>
  <c r="D7" i="4"/>
  <c r="D3" i="4"/>
  <c r="D9" i="4"/>
  <c r="C12" i="4"/>
  <c r="B12" i="4" s="1"/>
  <c r="D5" i="4"/>
  <c r="D6" i="4"/>
  <c r="D3" i="1"/>
  <c r="B19" i="1"/>
  <c r="D2" i="1"/>
  <c r="D6" i="1"/>
  <c r="D7" i="1"/>
  <c r="D8" i="1"/>
  <c r="D10" i="1"/>
  <c r="E9" i="1" l="1"/>
  <c r="C9" i="9"/>
  <c r="D9" i="9" s="1"/>
  <c r="E4" i="1"/>
  <c r="C4" i="9"/>
  <c r="D4" i="9" s="1"/>
  <c r="E5" i="1"/>
  <c r="C5" i="9"/>
  <c r="D5" i="9" s="1"/>
  <c r="C11" i="9"/>
  <c r="D11" i="9" s="1"/>
  <c r="E11" i="1"/>
  <c r="E3" i="1"/>
  <c r="C3" i="9"/>
  <c r="D3" i="9" s="1"/>
  <c r="C2" i="9"/>
  <c r="D2" i="9" s="1"/>
  <c r="E2" i="9" s="1"/>
  <c r="E2" i="1"/>
  <c r="C6" i="9"/>
  <c r="D6" i="9" s="1"/>
  <c r="E6" i="9" s="1"/>
  <c r="E6" i="1"/>
  <c r="C7" i="9"/>
  <c r="D7" i="9" s="1"/>
  <c r="E7" i="9" s="1"/>
  <c r="E7" i="1"/>
  <c r="E8" i="1"/>
  <c r="C8" i="9"/>
  <c r="D8" i="9" s="1"/>
  <c r="C10" i="9"/>
  <c r="D10" i="9" s="1"/>
  <c r="E10" i="1"/>
  <c r="E8" i="9" l="1"/>
  <c r="E10" i="9"/>
  <c r="E9" i="9"/>
  <c r="E4" i="9"/>
  <c r="E5" i="9"/>
  <c r="E11" i="9"/>
  <c r="E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<sst xmlns="http://schemas.openxmlformats.org/spreadsheetml/2006/main" count="702" uniqueCount="464">
  <si>
    <t>STAZIONE APPALTANTE</t>
  </si>
  <si>
    <t>DENOMINAZIONE</t>
  </si>
  <si>
    <t>CIG</t>
  </si>
  <si>
    <t>CUP</t>
  </si>
  <si>
    <t>BASE D'ASTA</t>
  </si>
  <si>
    <t>SCADENZA</t>
  </si>
  <si>
    <t>PT</t>
  </si>
  <si>
    <t>PT RIP</t>
  </si>
  <si>
    <t>CODICE</t>
  </si>
  <si>
    <t>CRITERIO</t>
  </si>
  <si>
    <t>PUNTEGGIO</t>
  </si>
  <si>
    <t>TIPOLOGIA</t>
  </si>
  <si>
    <t>LINKS</t>
  </si>
  <si>
    <t>D</t>
  </si>
  <si>
    <t>T</t>
  </si>
  <si>
    <t>MODALITA' D</t>
  </si>
  <si>
    <t>RIBASSO</t>
  </si>
  <si>
    <t>IMPORTO</t>
  </si>
  <si>
    <t>RIBASSO PARTENZA</t>
  </si>
  <si>
    <t>MOLTIPLICATORE</t>
  </si>
  <si>
    <t>ESPONENTE/CORRETTIVO</t>
  </si>
  <si>
    <t>PUNTEGGIO MAX</t>
  </si>
  <si>
    <t>PE</t>
  </si>
  <si>
    <t>TOTALE</t>
  </si>
  <si>
    <t>DIFFERENZA</t>
  </si>
  <si>
    <t>COSTI INTERNI</t>
  </si>
  <si>
    <t>#</t>
  </si>
  <si>
    <t>VALORE (€)</t>
  </si>
  <si>
    <t>TOTALE (€)</t>
  </si>
  <si>
    <t>ATTIVITA'</t>
  </si>
  <si>
    <t>COSTO (€)</t>
  </si>
  <si>
    <t>GG/U</t>
  </si>
  <si>
    <t>NOTE STIME</t>
  </si>
  <si>
    <t>COSTI INTERNI (€)</t>
  </si>
  <si>
    <t>Offering</t>
  </si>
  <si>
    <t>COSTI ESTERNI (€)</t>
  </si>
  <si>
    <t>Management</t>
  </si>
  <si>
    <t>MARGINE PRODUZIONE (%)</t>
  </si>
  <si>
    <t>&lt;-- INTRODURRE PERCENTUALE DI MARGINE %</t>
  </si>
  <si>
    <t>MARGINE RIVENDITA (%)</t>
  </si>
  <si>
    <t>RICAVO DELLA PRODUZIONE (€)</t>
  </si>
  <si>
    <t>RICAVO DA RIVENDITE (€)</t>
  </si>
  <si>
    <t>MARGINE COMMESSA (%)</t>
  </si>
  <si>
    <t>Contingency</t>
  </si>
  <si>
    <t>COSTI ESTERNI</t>
  </si>
  <si>
    <t>ATTIVITA' / DELIVERABLE / FORNITURA</t>
  </si>
  <si>
    <t>FORNITORE</t>
  </si>
  <si>
    <t>PREVENTIVO / NOTE</t>
  </si>
  <si>
    <t>VOCE DI COSTO</t>
  </si>
  <si>
    <t>% INCIDENZA</t>
  </si>
  <si>
    <t>COSTO TOTALE</t>
  </si>
  <si>
    <t xml:space="preserve">Voce n. 2.1 - Spese Generali - Costi generali di struttura </t>
  </si>
  <si>
    <t>&lt;-- INCIDE TOT % SUL COSTO DELLA MANODOPERA</t>
  </si>
  <si>
    <t xml:space="preserve">Voce n. 2.2 - Spese Generali - Costi amministrativi e finanziari </t>
  </si>
  <si>
    <t>&lt;-- INCIDE TOT % SUL FATTURATO DELLA COMMESSA</t>
  </si>
  <si>
    <t>Voce n. 3 - Costi relativi all’ammortamento o leasing dei mezzi</t>
  </si>
  <si>
    <t>&lt;-- INCIDE TOT € PER NR. DI GG/UU EROGATE</t>
  </si>
  <si>
    <t>Voce n. 4 - Materiali specifici per l’esecuzione dei servizi</t>
  </si>
  <si>
    <t>&lt;-- FORNITURE DI ATTREZZATURE, HW, SW, ECC. DICHIARATI</t>
  </si>
  <si>
    <t>Voce n. 5 - Oneri per la sicurezza aziendali</t>
  </si>
  <si>
    <t>Voce n. 6 - Altro (specificare)</t>
  </si>
  <si>
    <t>&lt;-- ALTRI COSTI EVENTUALMENTE DA SOSTENERE</t>
  </si>
  <si>
    <t>COSTO TOTALE IVA ESCLUSA</t>
  </si>
  <si>
    <t>RICAVO TOTALE IVA ESCLUSA</t>
  </si>
  <si>
    <t>Voce n. 7 – Utile d’impresa</t>
  </si>
  <si>
    <t>8</t>
  </si>
  <si>
    <t>8Q</t>
  </si>
  <si>
    <t>7</t>
  </si>
  <si>
    <t>6</t>
  </si>
  <si>
    <t>5</t>
  </si>
  <si>
    <t>3</t>
  </si>
  <si>
    <t>4</t>
  </si>
  <si>
    <t>Costo del personale per livelli
CCNL Metalmeccanica PMI - Confapi</t>
  </si>
  <si>
    <t>9Q</t>
  </si>
  <si>
    <t>9</t>
  </si>
  <si>
    <t xml:space="preserve">Retribuzione tabellare  </t>
  </si>
  <si>
    <t>Elemento retributivo</t>
  </si>
  <si>
    <t xml:space="preserve">Indennità di funzione  </t>
  </si>
  <si>
    <t>Retribuzione diretta</t>
  </si>
  <si>
    <t>Ex festività (4 novembre)</t>
  </si>
  <si>
    <t>Retribuzione indiretta</t>
  </si>
  <si>
    <t>Retribuzione differita: Tredicesima mensilità</t>
  </si>
  <si>
    <t>Totale Retribuzione</t>
  </si>
  <si>
    <t>Contributi Obbligatori</t>
  </si>
  <si>
    <r>
      <rPr>
        <sz val="10"/>
        <color rgb="FF000000"/>
        <rFont val="Candara"/>
        <family val="2"/>
      </rPr>
      <t xml:space="preserve">Trattamento fine rapporto </t>
    </r>
    <r>
      <rPr>
        <sz val="10"/>
        <color theme="1"/>
        <rFont val="Candara"/>
        <family val="2"/>
      </rPr>
      <t> </t>
    </r>
  </si>
  <si>
    <t>Fondo Fondapi (contr. Az. 2%)</t>
  </si>
  <si>
    <t>COSTO MENSILE</t>
  </si>
  <si>
    <r>
      <rPr>
        <b/>
        <sz val="10"/>
        <color rgb="FF000000"/>
        <rFont val="Candara"/>
        <family val="2"/>
      </rPr>
      <t xml:space="preserve">COSTO  ANNUO </t>
    </r>
    <r>
      <rPr>
        <sz val="10"/>
        <color theme="1"/>
        <rFont val="Candara"/>
        <family val="2"/>
      </rPr>
      <t> </t>
    </r>
  </si>
  <si>
    <t>COSTO  ORARIO</t>
  </si>
  <si>
    <t>COSTO GIORNALIERO</t>
  </si>
  <si>
    <t>Calcolo giornate lavorative</t>
  </si>
  <si>
    <t>Ore</t>
  </si>
  <si>
    <t>Ore annue mediamente non lavorate così suddivise:</t>
  </si>
  <si>
    <t>ferie (20 giorni)</t>
  </si>
  <si>
    <t>permessi annui retribuiti (ROL + Ex festività)</t>
  </si>
  <si>
    <t>assemblee, permessi sindacali, diritto allo studio</t>
  </si>
  <si>
    <t>malattia, infort., maternità</t>
  </si>
  <si>
    <t>formazione obbligatoria e non</t>
  </si>
  <si>
    <t>Totale ore non lavorate</t>
  </si>
  <si>
    <t>Ore annue mediamente lavorate</t>
  </si>
  <si>
    <t>Giorni annui mediamente lavorati</t>
  </si>
  <si>
    <t>TOT. PUNTEGGIO TECNICO</t>
  </si>
  <si>
    <t>PUNTEGGIO TECNICO MINIMO</t>
  </si>
  <si>
    <t>COSTI CCNL TEAM MIX</t>
  </si>
  <si>
    <t>Nr.</t>
  </si>
  <si>
    <t>%</t>
  </si>
  <si>
    <t>RUOLO</t>
  </si>
  <si>
    <t>LIV. 1</t>
  </si>
  <si>
    <t>CCNL 1</t>
  </si>
  <si>
    <t>CCNL 2</t>
  </si>
  <si>
    <t>GG/UU</t>
  </si>
  <si>
    <t>TOTALE COSTI</t>
  </si>
  <si>
    <t>LIV. 2</t>
  </si>
  <si>
    <t>% LIV. 1</t>
  </si>
  <si>
    <t>% LIV. 2</t>
  </si>
  <si>
    <t>Ore annue lavorabili 2024 (52,2 sett.*40 ore)</t>
  </si>
  <si>
    <t>festività ( 8 giorni esclusi sabati e dom.)</t>
  </si>
  <si>
    <t>NR</t>
  </si>
  <si>
    <t>Scatti di anzianità (pref. 3)</t>
  </si>
  <si>
    <t>Voce n. 1 - Totale Costo della manodopera diretta</t>
  </si>
  <si>
    <t>Voce n. 1 - Totale Costo della manodopera da subappalto</t>
  </si>
  <si>
    <t>Elemento perequativo  (obbligatorio? 40,42€)</t>
  </si>
  <si>
    <t>Mancata adesione alla bilateralità (opzionale? 5,00 €)</t>
  </si>
  <si>
    <r>
      <t>Contributi </t>
    </r>
    <r>
      <rPr>
        <sz val="10"/>
        <color rgb="FF000000"/>
        <rFont val="Candara"/>
        <family val="2"/>
      </rPr>
      <t xml:space="preserve">Inps (29,36%) </t>
    </r>
    <r>
      <rPr>
        <sz val="10"/>
        <color theme="1"/>
        <rFont val="Candara"/>
        <family val="2"/>
      </rPr>
      <t> </t>
    </r>
  </si>
  <si>
    <t>Rivalutazione TFR (1,81886%)</t>
  </si>
  <si>
    <t>Contributi previdenza integrativa (1,8%)</t>
  </si>
  <si>
    <t>Assistenza sanitaria integrativa (8 €)</t>
  </si>
  <si>
    <t>Welfare (16,67 €)</t>
  </si>
  <si>
    <t>VOCE DI COSTO ONERI DI SICUREZZA AZIENDALI</t>
  </si>
  <si>
    <t>Per le attività svolte dal Servizio di Prevenzione e Protezione dai Rischi</t>
  </si>
  <si>
    <t>Responsabile Servizio Prevenzione e Protezione</t>
  </si>
  <si>
    <t>Riunione Periodica</t>
  </si>
  <si>
    <t>Per la Formazione, Informazione e Addestramento</t>
  </si>
  <si>
    <t>Informazione/formazione dipendenti</t>
  </si>
  <si>
    <t>Formazione Dirigenti e Preposti</t>
  </si>
  <si>
    <t>Formazione RLS/RSPP</t>
  </si>
  <si>
    <t>Per la Sorveglianza sanitaria</t>
  </si>
  <si>
    <t>Medico competente e sorveglianza sanitaria</t>
  </si>
  <si>
    <t>Spesa fissa medico competente per sorveglianza</t>
  </si>
  <si>
    <t>Visite mediche</t>
  </si>
  <si>
    <t>Per la Gestione delle Emergenze</t>
  </si>
  <si>
    <t>Cassette di primo soccorso</t>
  </si>
  <si>
    <t>Costo annuale di sostituzione del contenuto cassetta di primo soccorso</t>
  </si>
  <si>
    <t>Formazione personale addetto al primo soccorso</t>
  </si>
  <si>
    <t>Manutenzione estintori</t>
  </si>
  <si>
    <t>Canone annuo di manutenzione</t>
  </si>
  <si>
    <t>Manutenzione porte RAE</t>
  </si>
  <si>
    <t>Formazione personale addetto alla prevenzione incendi</t>
  </si>
  <si>
    <t>Per la pianificazione: redazione documenti</t>
  </si>
  <si>
    <t>Redazione ed aggiornamento DVR</t>
  </si>
  <si>
    <t>Redazione ed aggiornamento procedure e processi</t>
  </si>
  <si>
    <t>Spese amministrative varie</t>
  </si>
  <si>
    <t>Quota di costi di certificazione per sicurezza sul lavoro</t>
  </si>
  <si>
    <t>Totale oneri della sicurezza aziendali</t>
  </si>
  <si>
    <t>Oneri della sicurezza per gg/uu</t>
  </si>
  <si>
    <t>Oneri della sicurezza per FTE</t>
  </si>
  <si>
    <t>PERIODO IN ANNI</t>
  </si>
  <si>
    <t>ADDETTI FORMAZIONE PRIMO SOCCORSO</t>
  </si>
  <si>
    <t>ADDETTI FORMAZIONE PREVENZIONE INCENDI</t>
  </si>
  <si>
    <t>NUMERO RLS/RSPP</t>
  </si>
  <si>
    <t>NUMERO DI DIRIGENTI</t>
  </si>
  <si>
    <t>NUMERO DI DIPENDENTI</t>
  </si>
  <si>
    <t>comprensivo del 29 febbraio</t>
  </si>
  <si>
    <r>
      <t>Contributi </t>
    </r>
    <r>
      <rPr>
        <sz val="10"/>
        <color rgb="FF000000"/>
        <rFont val="Candara"/>
        <family val="2"/>
      </rPr>
      <t xml:space="preserve">Inail (0,475 per mille) </t>
    </r>
    <r>
      <rPr>
        <sz val="10"/>
        <color theme="1"/>
        <rFont val="Candara"/>
        <family val="2"/>
      </rPr>
      <t> </t>
    </r>
  </si>
  <si>
    <t>Costo di 300€ a dirigente/preposto (12 in tutto) ogni 5 anni per formazione</t>
  </si>
  <si>
    <t>Costo di 300€ a RSPP/RLS (2 in tutto) ogni 5 anni per formazione</t>
  </si>
  <si>
    <t>Costo di 300€ ad addetto (8 in tutto) ogni 5 anni per formazione</t>
  </si>
  <si>
    <t>Costo di 300€ ad addetto (3 in tutto) ogni 5 anni per formazione</t>
  </si>
  <si>
    <t>10 gg/u di un impiegato amministrativo al costo di un 5° livello € per gg/uu</t>
  </si>
  <si>
    <t>10 gg/u di un impiegato amministrativo al costo di un 5° livello per gg/uu</t>
  </si>
  <si>
    <t>20 giorni all'anno dedicati dal RSPP per tematiche di sicurezza sul lavoro al costo di un 5° livello per gg/uu</t>
  </si>
  <si>
    <t>Costo di due riunioni periodiche annunali di 4 ore con 6 responsabili (costo medio orario più elevato 9q)</t>
  </si>
  <si>
    <t>Costo di 16€ a dipendente annuo per formazione/informazione</t>
  </si>
  <si>
    <t>50€ per visita dipendente per 1/5 dei dipendenti ogni anno</t>
  </si>
  <si>
    <t>Adozione di modelli e sistemi di gestione della sicurezza (SA8000, ISO 45001,…)</t>
  </si>
  <si>
    <t>MEDIO LINKS</t>
  </si>
  <si>
    <t>P</t>
  </si>
  <si>
    <t>ALTRO 1</t>
  </si>
  <si>
    <t>Prestazione</t>
  </si>
  <si>
    <t>A corpo</t>
  </si>
  <si>
    <t>Modalità</t>
  </si>
  <si>
    <t xml:space="preserve"> </t>
  </si>
  <si>
    <t>&lt;-- DA MOLTIPLICARE X IL NUMERO DI GG/UU EROGATE</t>
  </si>
  <si>
    <t>ELAPSED</t>
  </si>
  <si>
    <t>RICAVO AUSPICABILE (€)</t>
  </si>
  <si>
    <t>MARGINE DERIVABILE (€)</t>
  </si>
  <si>
    <t>RICAVO LINKS DA ACCORDI</t>
  </si>
  <si>
    <t>MARGINE (€)</t>
  </si>
  <si>
    <t>ALTRO 2</t>
  </si>
  <si>
    <t>ALTRO 3</t>
  </si>
  <si>
    <t>ALTRO 4</t>
  </si>
  <si>
    <t>ALTRO 5</t>
  </si>
  <si>
    <t>DI CUI DISCREZIONALE …</t>
  </si>
  <si>
    <t>DI CUI TABELLARE …</t>
  </si>
  <si>
    <t>RIPARAMETRAZIONE PARZIALE O TOTALE</t>
  </si>
  <si>
    <t>MEDIA RIBASSI</t>
  </si>
  <si>
    <t>Ricavo Unitario</t>
  </si>
  <si>
    <t>Ricavo Totale</t>
  </si>
  <si>
    <t>MEV</t>
  </si>
  <si>
    <t>% LINKS IN RTI</t>
  </si>
  <si>
    <t>DIFF</t>
  </si>
  <si>
    <t>C1</t>
  </si>
  <si>
    <t>C2</t>
  </si>
  <si>
    <t>C3</t>
  </si>
  <si>
    <t>C4</t>
  </si>
  <si>
    <t>C5A</t>
  </si>
  <si>
    <t>C5B</t>
  </si>
  <si>
    <t>C5C</t>
  </si>
  <si>
    <t>Ottimo</t>
  </si>
  <si>
    <t>O</t>
  </si>
  <si>
    <t>S</t>
  </si>
  <si>
    <t>I</t>
  </si>
  <si>
    <t>ALTRO 6</t>
  </si>
  <si>
    <t>ALTRO 7</t>
  </si>
  <si>
    <t>ALTRO 8</t>
  </si>
  <si>
    <t>ALTRO 9</t>
  </si>
  <si>
    <t>MIGLIORE OFFERTA</t>
  </si>
  <si>
    <t>Phase In / Phase Out</t>
  </si>
  <si>
    <t>Cookiebot</t>
  </si>
  <si>
    <t>Formazione</t>
  </si>
  <si>
    <t>MAC + MAD</t>
  </si>
  <si>
    <t>fatt. prod. 1,5  :  66 --&gt; 44</t>
  </si>
  <si>
    <t>Mailup (licenza)</t>
  </si>
  <si>
    <t>ZenDesk (licenza)</t>
  </si>
  <si>
    <t>Hosting</t>
  </si>
  <si>
    <t>MAILUP</t>
  </si>
  <si>
    <t>ZENDESK</t>
  </si>
  <si>
    <t>VIANOVA</t>
  </si>
  <si>
    <t>CAPO PROGETTO</t>
  </si>
  <si>
    <t>TECHNICAL ARCHITECT</t>
  </si>
  <si>
    <t>DEVELOPER</t>
  </si>
  <si>
    <t>UX UI EXPERT</t>
  </si>
  <si>
    <t>SEO EXPERT</t>
  </si>
  <si>
    <t>DBA</t>
  </si>
  <si>
    <t>SISTEMISTA</t>
  </si>
  <si>
    <t>OPERATORE DI HD</t>
  </si>
  <si>
    <t>FORMATORE</t>
  </si>
  <si>
    <t>DA COST MODEL</t>
  </si>
  <si>
    <t>INCREMENTO</t>
  </si>
  <si>
    <t>TOTALE GG/UU</t>
  </si>
  <si>
    <t>Manutenzione evolutiva</t>
  </si>
  <si>
    <t>Servizi specialistici: formazione</t>
  </si>
  <si>
    <t>Servizi specialistici: assistenza operativa</t>
  </si>
  <si>
    <t>Servizi specialistici: altre componenti</t>
  </si>
  <si>
    <t>gg/uu</t>
  </si>
  <si>
    <t>Canone mensile</t>
  </si>
  <si>
    <t>Per 27 mesi</t>
  </si>
  <si>
    <t>Analisi e Sviluppo Software</t>
  </si>
  <si>
    <t>Attività di presa in carico dell'attuale</t>
  </si>
  <si>
    <t>3 gg/uu per 24 + 5 mesi</t>
  </si>
  <si>
    <t>FLUSSI - Proposte migliorative (es. flussi ottimizzati)</t>
  </si>
  <si>
    <t>FLUSSI - Analisi e progettazione</t>
  </si>
  <si>
    <t>FLUSSI - Sviluppo</t>
  </si>
  <si>
    <t>DESIGN e TEMA - Analisi e design UX/UI 3 progetti grafici</t>
  </si>
  <si>
    <t>DESIGN e TEMA - Sviluppo tema grafico</t>
  </si>
  <si>
    <t>MICROSERVIZI - Gestione erogazioni</t>
  </si>
  <si>
    <t>MICROSERVIZI - Gestione Enti beneficiari (e anagrafiche spettacolo)</t>
  </si>
  <si>
    <t>MICROSERVIZI - Statistiche e reportistica</t>
  </si>
  <si>
    <t>MICROSERVIZI - Notifiche</t>
  </si>
  <si>
    <t>MICROSERVIZI - Interventi (in ed extra Art Bonus)</t>
  </si>
  <si>
    <t>MICROSERVIZI - Autenticazione</t>
  </si>
  <si>
    <t>MICROSERVIZI - Transazioni</t>
  </si>
  <si>
    <t>MICROSERVIZI - Gestione Concorso Art Bonus</t>
  </si>
  <si>
    <t>MICROSERVIZI - Harvesting ETL (Business continuity)</t>
  </si>
  <si>
    <t>MICROSERVIZI - Integrazione con Cookiebot</t>
  </si>
  <si>
    <t>MICROSERVIZI - Integrazione con Zendesk (Ticketing)</t>
  </si>
  <si>
    <t>MICROSERVIZI - Integrazione con Mailup</t>
  </si>
  <si>
    <t>PORTLET FE - Gestione erogazioni</t>
  </si>
  <si>
    <t>PORTLET FE - Gestione Enti beneficiari (e anagrafiche spettacolo)</t>
  </si>
  <si>
    <t>PORTLET FE - Statistiche e reportistica</t>
  </si>
  <si>
    <t>PORTLET FE - Notifiche</t>
  </si>
  <si>
    <t>PORTLET FE - Interventi (in ed extra Art Bonus)</t>
  </si>
  <si>
    <t>PORTLET FE - Transazioni</t>
  </si>
  <si>
    <t>PORTLET FE - Autenticazione</t>
  </si>
  <si>
    <t>PORTLET FE - Dashboard Amministratore</t>
  </si>
  <si>
    <t>PORTLET FE - Dashboard Ente</t>
  </si>
  <si>
    <t>PORTLET FE - Manuale Online</t>
  </si>
  <si>
    <t>PORTLET FE - FAQ</t>
  </si>
  <si>
    <t>PORTLET FE - Gestione Concorso Art Bonus</t>
  </si>
  <si>
    <t>PORTLET FE - Ricerca avanzata</t>
  </si>
  <si>
    <t>MIGRAZIONE - Dati (tabelle custom)</t>
  </si>
  <si>
    <t>MIGRAZIONE - Web content</t>
  </si>
  <si>
    <t>MIGRAZIONE - Pagine statiche</t>
  </si>
  <si>
    <t>RNF - DevOps</t>
  </si>
  <si>
    <t>RNF - Log accessi (IP, ora e data, pagine visitate e azioni svolte)</t>
  </si>
  <si>
    <t>RNF - Monitoraggio e segnalazione attività sospette/blocco temporaneo utenza</t>
  </si>
  <si>
    <t>RNF - Sistema di audit attività utenti, modifiche apportate a dati sensibili</t>
  </si>
  <si>
    <t>RNF - Autenticazione a due fattori</t>
  </si>
  <si>
    <t>RNF - Web Analytics Italia</t>
  </si>
  <si>
    <t>GESTIONE WEB CONTENT - News</t>
  </si>
  <si>
    <t>GESTIONE WEB CONTENT - Manuale Utente</t>
  </si>
  <si>
    <t>GESTIONE WEB CONTENT - FAQ</t>
  </si>
  <si>
    <t>PRODUZIONE DOCUMENTI TECNICI</t>
  </si>
  <si>
    <t>Stima ricevuta da Danilo, no offerta, OBIETTIVO RIDURRE IL COSTO A CIRCA 20K</t>
  </si>
  <si>
    <t>L'OBIETTIVO E' RIDURRE LE GIORNATE A CIRCA 250</t>
  </si>
  <si>
    <t>Canoni</t>
  </si>
  <si>
    <t>Servizi a corpo</t>
  </si>
  <si>
    <t>Attivazione contratto 10-11-2025</t>
  </si>
  <si>
    <t>Durata Contratto 29 mesi (fino a 10-04-2028)</t>
  </si>
  <si>
    <t>SACE S.p.A.</t>
  </si>
  <si>
    <t>Affidamento del servizio di application maintenance, evoluzione e gestione dati su framework Salesforce</t>
  </si>
  <si>
    <t>BD26C6E412</t>
  </si>
  <si>
    <t>2026-10-30T12:00:00Z</t>
  </si>
  <si>
    <t>B</t>
  </si>
  <si>
    <t>Presentazione aziendale e referenze</t>
  </si>
  <si>
    <t>C2.1</t>
  </si>
  <si>
    <t>Organizzazione del servizio offerto</t>
  </si>
  <si>
    <t>C2.2</t>
  </si>
  <si>
    <t>Affiancamento e trasferimento know-how</t>
  </si>
  <si>
    <t>Qualità delle singole risorse componenti il team</t>
  </si>
  <si>
    <t>Proposte di livelli di servizio migliorativi</t>
  </si>
  <si>
    <t>C5</t>
  </si>
  <si>
    <t>Misure a tutela della diversità e pari opportunità - ISO 30415:2021 o UNI PDR 125:2022</t>
  </si>
  <si>
    <t>C6</t>
  </si>
  <si>
    <t>Certificazioni ISO 27001, ISO 27017:2015, ISO 20000-1:2018</t>
  </si>
  <si>
    <t>Buono</t>
  </si>
  <si>
    <t>Discreto</t>
  </si>
  <si>
    <t>Sufficiente</t>
  </si>
  <si>
    <t>Scarso</t>
  </si>
  <si>
    <t>SC</t>
  </si>
  <si>
    <t>Insufficiente</t>
  </si>
  <si>
    <t>METODO PE</t>
  </si>
  <si>
    <t>rmax_nonlin — Non lineare sul ribasso massimo</t>
  </si>
  <si>
    <t>COEFFICIENTE X</t>
  </si>
  <si>
    <t>ESPRESSIONE PE</t>
  </si>
  <si>
    <t>20 * (Ri/Rmax)^0.3</t>
  </si>
  <si>
    <t>Application Maintenance</t>
  </si>
  <si>
    <t>Implementazione nuove soluzioni - Manutenzione Evolutiva</t>
  </si>
  <si>
    <t>gg/u</t>
  </si>
  <si>
    <t>Implementazione nuove soluzioni - Manutenzione Evolutiva (periodo opzionale)</t>
  </si>
  <si>
    <t>PROFILI PROFESSIONALI RICHIESTI — da Capitolato tecnico</t>
  </si>
  <si>
    <t>PROFILO</t>
  </si>
  <si>
    <t>N. RISORSE</t>
  </si>
  <si>
    <t>TITOLO DI STUDIO</t>
  </si>
  <si>
    <t>ESPERIENZA MINIMA</t>
  </si>
  <si>
    <t>CERTIFICAZIONI</t>
  </si>
  <si>
    <t>COMPETENZE</t>
  </si>
  <si>
    <t>CRITERIO PT</t>
  </si>
  <si>
    <t>PUNTEGGIO PT</t>
  </si>
  <si>
    <t>RUOLO TEAM</t>
  </si>
  <si>
    <t>LIVELLO CCNL</t>
  </si>
  <si>
    <t>COSTO GG CCNL</t>
  </si>
  <si>
    <t>COPERTO</t>
  </si>
  <si>
    <t>Capo Progetto</t>
  </si>
  <si>
    <t>Laurea in discipline economiche o tecniche o cultura equivalente</t>
  </si>
  <si>
    <t>Almeno 10 anni di anzianità lavorativa, almeno 4 anni di provata esperienza nella specifica funzione su progetti complessi; almeno 2 anni di provata esperienza di analisi e progettazione nel settore assicurativo con periodi continuativi non inferiori a 6 mesi</t>
  </si>
  <si>
    <t>Metodologie di misura progetti e sviluppo, Agile, redazione specifiche, stima tempi e risorse, analisi processi, project management, Salesforce, Marketing Cloud, Sistemi ETL, Visualforce, Lightning component, APEX, Javascript, SOAP, REST, HTML/XML/CSS3/Javascript</t>
  </si>
  <si>
    <t>NO</t>
  </si>
  <si>
    <t>Analista Senior</t>
  </si>
  <si>
    <t>Almeno 5 anni di anzianità lavorativa, almeno 2 anni di provata esperienza nella specifica funzione su progetti complessi; almeno 2 anni di provata esperienza nel settore assicurativo con periodi continuativi non inferiori a 6 mesi</t>
  </si>
  <si>
    <t>Programmazione e data modeling Force.com, web services d'integrazione, configurazione Salesforce, metodologie sviluppo, Agile, redazione specifiche, stima tempi e risorse, analisi processi, Salesforce, Marketing Cloud, Visualforce, Lightning component, APEX, Javascript, SOAP, REST, HTML/XML/CSS3/Javascript, Sistemi ETL</t>
  </si>
  <si>
    <t>Analista Programmatore</t>
  </si>
  <si>
    <t>Diploma e/o Laurea in discipline economiche o tecniche o cultura equivalente</t>
  </si>
  <si>
    <t>Almeno 2 anni di anzianità lavorativa, almeno 6 mesi di provata esperienza nella specifica funzione su progetti complessi; apprezzata conoscenza settore assicurativo</t>
  </si>
  <si>
    <t>Implementazione applicazioni custom su Lightning Salesforce, programmazione e manutenzione web services d'integrazione, configurazione Salesforce, redazione specifiche, analisi e progettazione sistemi, Salesforce, Marketing Cloud, Sistemi ETL, Visualforce, Lightning component, APEX, Javascript, SOAP, REST, HTML/XML/CSS3/Javascript</t>
  </si>
  <si>
    <t>Analista Programmatore Dati</t>
  </si>
  <si>
    <t>Laurea in discipline tecniche o Diploma perito informatico o equivalente (per non laureati esperienza lavorativa addizionale in ambito informatico)</t>
  </si>
  <si>
    <t>Almeno 6 anni di anzianità lavorativa, almeno 2 anni di provata esperienza di analisi e progettazione DWH e Business Intelligence; apprezzata conoscenza settore assicurativo</t>
  </si>
  <si>
    <t>Analisi, progettazione e implementazione flussi dati ETL, modellizzazione database, Quality Assurance dati, progettazione dashboard e reportistica Salesforce, estrazioni dati ad hoc, analisi funzionale/tecnica, Salesforce, Microsoft SQL Server, Integration Service, Reporting Service, Analysis Service, OLAP, Oracle, Visual Studio, Pentaho, strumenti gestione rilasci (TFS, Sonar, Jenkins)</t>
  </si>
  <si>
    <t>Specialista Digital Marketing</t>
  </si>
  <si>
    <t>Almeno 6 anni di anzianità lavorativa, almeno 2 anni di provata esperienza di analisi e progettazione marketing digitale; apprezzata conoscenza settore assicurativo</t>
  </si>
  <si>
    <t>Progettazione e gestione campagne email marketing, email automation, marketing automation, flussi email automation, piani editoriali, analisi performance campagne, Salesforce, Marketing Cloud, Visualforce, Lightning component, APEX, Javascript, SOAP, REST, HTML/XML/CSS3/Javascript, API, Google Analytics</t>
  </si>
  <si>
    <t/>
  </si>
  <si>
    <t>ALTRI REQUISITI DI PARTECIPAZIONE — da Disciplinare di gara</t>
  </si>
  <si>
    <t>REQUISITI DI CAPACITÀ ECONOMICA E FINANZIARIA</t>
  </si>
  <si>
    <t>N.</t>
  </si>
  <si>
    <t>REQUISITO</t>
  </si>
  <si>
    <t>VALORE / SOGLIA</t>
  </si>
  <si>
    <t>RIFERIMENTO</t>
  </si>
  <si>
    <t>POSSEDUTO</t>
  </si>
  <si>
    <t>Aver realizzato nei migliori tre anni degli ultimi cinque anni precedenti alla data di pubblicazione del Bando un fatturato globale (generale) non inferiore a Euro 1.390.400,00 IVA esclusa</t>
  </si>
  <si>
    <t>1390400</t>
  </si>
  <si>
    <t>§ 14.2</t>
  </si>
  <si>
    <t>REQUISITI DI IDONEITÀ PROFESSIONALE</t>
  </si>
  <si>
    <t>Iscrizione nel registro della Camera di commercio, industria, artigianato e agricoltura o nel registro delle commissioni provinciali per l'artigianato o presso i competenti ordini professionali per attività pertinenti con quelle oggetto della presente procedura. Per operatori di altro Stato membro, iscrizione in uno dei registri professionali o commerciali degli altri Stati membri</t>
  </si>
  <si>
    <t>§ 14.1, art. 100 comma 1 lett. a) e comma 3 Codice</t>
  </si>
  <si>
    <t>REQUISITI DI CAPACITÀ TECNICA E PROFESSIONALE</t>
  </si>
  <si>
    <t>Aver eseguito negli ultimi 10 anni antecedenti la data di pubblicazione del bando di gara, in favore di Pubbliche Amministrazioni e/o soggetti privati, almeno 3 contratti del valore complessivo non inferiore a Euro 695.200,00 IVA esclusa, aventi ad oggetto servizi analoghi a quelli richiesti dalla presente procedura di gara</t>
  </si>
  <si>
    <t>695200</t>
  </si>
  <si>
    <t>§ 14.3</t>
  </si>
  <si>
    <t>POSSEDUTI</t>
  </si>
  <si>
    <t>OGGETTO DELLA FORNITURA E SERVIZI — da Capitolato tecnico</t>
  </si>
  <si>
    <t>DURATA BASE (MESI)</t>
  </si>
  <si>
    <t>DURATA OPZIONE (MESI)</t>
  </si>
  <si>
    <t>GG/ANNO PER FTE</t>
  </si>
  <si>
    <t>TIPOLOGIA DI SERVIZIO</t>
  </si>
  <si>
    <t>SERVIZIO</t>
  </si>
  <si>
    <t>AMBITO</t>
  </si>
  <si>
    <t>FIGURA PROFESSIONALE</t>
  </si>
  <si>
    <t>% UTILIZZO MIN</t>
  </si>
  <si>
    <t>% UTILIZZO MAX</t>
  </si>
  <si>
    <t>% MEDIA</t>
  </si>
  <si>
    <t>FTE / ANNO</t>
  </si>
  <si>
    <t>GG/U PERIODO BASE</t>
  </si>
  <si>
    <t>GG/U OPZIONE</t>
  </si>
  <si>
    <t>GG/U TOTALI</t>
  </si>
  <si>
    <t>DESCRIZIONE</t>
  </si>
  <si>
    <t>Servizio di manutenzione correttiva, supporto di 2° livello sistemistico, piccola manutenzione evolutiva e gestione dati su framework Salesforce</t>
  </si>
  <si>
    <t>Manutenzione Correttiva</t>
  </si>
  <si>
    <t>Problem determination e problem solving per malfunzionamenti applicazioni, adeguamenti per upgrade versioni, upgrade periodici Salesforce, adeguamenti per cambiamenti condizioni al contorno, modifiche al sistema dati e configurazioni</t>
  </si>
  <si>
    <t>Supporto di 2° Livello Sistemistico e Administrator</t>
  </si>
  <si>
    <t>Supporto applicativo di 2° livello, supporto sistemistico e administrator, malfunzionamenti da errori software, problemi da utilizzo errato, supporto funzionalità tecniche, supporto infrastrutturale, gestione anagrafica e profili utenti, gestione campagne marketing cloud</t>
  </si>
  <si>
    <t>Piccola Manutenzione Evolutiva</t>
  </si>
  <si>
    <t>Interventi di modesta entità (Effort &lt;= 5 gg/u) per modifiche funzionalità esistenti, sviluppo nuove funzionalità, parametrizzazione per nuove esigenze, manutenzione evolutiva reportistica ed estrazione dati</t>
  </si>
  <si>
    <t>Implementazione di Nuove Soluzioni</t>
  </si>
  <si>
    <t>Realizzazione di funzionalità non esistenti, inserimento nuove funzionalità, modifica funzioni in esercizio, parametrizzazione e personalizzazione piattaforma Salesforce, realizzazione web services d'integrazione</t>
  </si>
  <si>
    <t>Analisi e Definizione</t>
  </si>
  <si>
    <t>Identificazione esigenze di sviluppo, definizione ipotesi di soluzione, pianificazione realizzazione, valutazione d'impatto, stima giorni uomo e costi</t>
  </si>
  <si>
    <t>Realizzazione</t>
  </si>
  <si>
    <t>Implementazione componenti software, realizzazione web services, esecuzione test, creazione documentazione, consegna componenti</t>
  </si>
  <si>
    <t>Collaudo e Validazione</t>
  </si>
  <si>
    <t>Supporto predisposizione ambiente collaudo, installazione prodotti sviluppati, supporto esecuzione collaudo, supporto passaggio in produzione</t>
  </si>
  <si>
    <t>Manutenzione Evolutiva Reportistica ed Estrazione Dati</t>
  </si>
  <si>
    <t>Realizzazione nuovi report/query, modifica report esistenti, procedure alimentazione basi dati, estrazione dati propedeutici a studi/analisi, bonifiche e initial load</t>
  </si>
  <si>
    <t>DICHIARAZIONE OFFERTA ECONOMICA — collegamento con il foglio ECONOMICA</t>
  </si>
  <si>
    <t>VOCE DICHIARAZIONE</t>
  </si>
  <si>
    <t>UNITÀ</t>
  </si>
  <si>
    <t>Q.TÀ DICHIARATA</t>
  </si>
  <si>
    <t>RIGA ECONOMICA</t>
  </si>
  <si>
    <t>PRESTAZIONE ECONOMICA</t>
  </si>
  <si>
    <t>Q.TÀ ECONOMICA</t>
  </si>
  <si>
    <t>PREZZO UNITARIO</t>
  </si>
  <si>
    <t>COERENZA</t>
  </si>
  <si>
    <t>NOTE</t>
  </si>
  <si>
    <t>1</t>
  </si>
  <si>
    <t>Servizio di Application Maintenance - Canone mensile</t>
  </si>
  <si>
    <t>mese</t>
  </si>
  <si>
    <t>Importo base d'asta: Euro 695.200 per 24 mesi, IVA esclusa</t>
  </si>
  <si>
    <t>1.1</t>
  </si>
  <si>
    <t>Analista Funzionale (analista senior) - Application Maintenance</t>
  </si>
  <si>
    <t>ELEMENTO TECNICO</t>
  </si>
  <si>
    <t>Mix percentuale da compilare</t>
  </si>
  <si>
    <t>1.2</t>
  </si>
  <si>
    <t>Analista Programmatore - Application Maintenance</t>
  </si>
  <si>
    <t>Mix percentuale: 100%</t>
  </si>
  <si>
    <t>2</t>
  </si>
  <si>
    <t>Servizio di Implementazione nuove soluzioni - Tariffa media giornaliera</t>
  </si>
  <si>
    <t>800 giornate uomo stimate</t>
  </si>
  <si>
    <t>2.1</t>
  </si>
  <si>
    <t>Analista Funzionale - Implementazione nuove soluzioni</t>
  </si>
  <si>
    <t>Euro/giorno</t>
  </si>
  <si>
    <t>Tariffa unitaria giornaliera da compilare, Mix percentuale da compilare</t>
  </si>
  <si>
    <t>2.2</t>
  </si>
  <si>
    <t>Analista Programmatore - Implementazione nuove soluzioni</t>
  </si>
  <si>
    <t>2.3</t>
  </si>
  <si>
    <t>Analista Programmatore dati - Implementazione nuove soluzioni</t>
  </si>
  <si>
    <t>Tariffa unitaria giornaliera da compilare, Mix percentuale: 100%</t>
  </si>
  <si>
    <t>Percentuale di ribasso sull'importo a base d'asta</t>
  </si>
  <si>
    <t>NON COLLEGATA</t>
  </si>
  <si>
    <t>Da compilare in cifre e lettere</t>
  </si>
  <si>
    <t>Costi aziendali per salute e sicurezza sui luoghi di lavoro (art. 108, comma 9 D.Lgs. 36/2023)</t>
  </si>
  <si>
    <t>Euro</t>
  </si>
  <si>
    <t>Da compilare</t>
  </si>
  <si>
    <t>Costi della manodopera</t>
  </si>
  <si>
    <t>TOTALE COLLEGATO</t>
  </si>
  <si>
    <t>DICHIARAZIONI E IMPEGNI</t>
  </si>
  <si>
    <t>Impegno di mantenere valida l'offerta per 180 giorni consecutivi a far data dal termine previsto per la presentazione delle offerte</t>
  </si>
  <si>
    <t>Consapevolezza che l'offerta non vincola in alcun modo SACE S.p.A.</t>
  </si>
  <si>
    <t>Dichiarazione di aver preso cognizione di tutte le circostanze generali e speciali che possono interessare l'esecuzione delle prestazioni oggetto del contratto e di aver tenuto conto delle stesse nella determinazione del prezzo offerto</t>
  </si>
  <si>
    <t>Il prezzo offerto è ritenuto remunerativo per l'operatore economico</t>
  </si>
  <si>
    <t>Accettazione di tutte le condizioni specificate nella documentazione di gara</t>
  </si>
  <si>
    <t>DURATA</t>
  </si>
  <si>
    <t>24 + 24 (Rinnovo Opzionale)</t>
  </si>
  <si>
    <t>IMPORTO COMPLESSIVO COMPRENSIVO DI RINNOVI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</si>
</sst>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410]_-;\-* #,##0.00\ [$€-410]_-;_-* &quot;-&quot;??\ [$€-410]_-;_-@_-"/>
    <numFmt numFmtId="165" formatCode="_-* #,##0_-;\-* #,##0_-;_-* &quot;-&quot;??_-;_-@_-"/>
    <numFmt numFmtId="166" formatCode="_-* #,##0.000_-;\-* #,##0.000_-;_-* &quot;-&quot;??_-;_-@_-"/>
    <numFmt numFmtId="167" formatCode="#,##0.00_ ;\-#,##0.00\ "/>
    <numFmt numFmtId="168" formatCode="_-&quot;€&quot;\ * #,##0.00_-;\-&quot;€&quot;\ * #,##0.00_-;_-&quot;€&quot;\ * &quot;-&quot;??_-;_-@_-"/>
    <numFmt numFmtId="169" formatCode="_-* #,##0.0000\ &quot;€&quot;_-;\-* #,##0.0000\ &quot;€&quot;_-;_-* &quot;-&quot;??\ &quot;€&quot;_-;_-@_-"/>
    <numFmt numFmtId="170" formatCode="0.0%"/>
    <numFmt numFmtId="171" formatCode="0.000000%"/>
    <numFmt numFmtId="172" formatCode="_-* #,##0.00\ _€_-;\-* #,##0.00\ _€_-;_-* &quot;-&quot;??\ _€_-;_-@_-"/>
    <numFmt numFmtId="173" formatCode="[$€-2]\ #,##0.00;[Red]\-[$€-2]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ndara"/>
      <family val="2"/>
    </font>
    <font>
      <b/>
      <i/>
      <sz val="10"/>
      <color theme="0"/>
      <name val="Candara"/>
      <family val="2"/>
    </font>
    <font>
      <b/>
      <i/>
      <sz val="10"/>
      <name val="Candara"/>
      <family val="2"/>
    </font>
    <font>
      <b/>
      <sz val="10"/>
      <color theme="1"/>
      <name val="Candara"/>
      <family val="2"/>
    </font>
    <font>
      <b/>
      <sz val="10"/>
      <color theme="0"/>
      <name val="Candara"/>
      <family val="2"/>
    </font>
    <font>
      <b/>
      <sz val="10"/>
      <color rgb="FFFF0000"/>
      <name val="Candara"/>
      <family val="2"/>
    </font>
    <font>
      <sz val="10"/>
      <color rgb="FF000000"/>
      <name val="Candara"/>
      <family val="2"/>
    </font>
    <font>
      <b/>
      <sz val="10"/>
      <color rgb="FF000000"/>
      <name val="Candara"/>
      <family val="2"/>
    </font>
    <font>
      <sz val="10"/>
      <color rgb="FFFF0000"/>
      <name val="Candara"/>
      <family val="2"/>
    </font>
    <font>
      <sz val="10"/>
      <name val="Candara"/>
      <family val="2"/>
    </font>
    <font>
      <i/>
      <sz val="10"/>
      <color theme="1"/>
      <name val="Candara"/>
      <family val="2"/>
    </font>
    <font>
      <i/>
      <sz val="10"/>
      <name val="Candara"/>
      <family val="2"/>
    </font>
    <font>
      <i/>
      <sz val="10"/>
      <color rgb="FF000000"/>
      <name val="Candara"/>
      <family val="2"/>
    </font>
    <font>
      <b/>
      <i/>
      <sz val="10"/>
      <color theme="1"/>
      <name val="Candar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8"/>
      <color rgb="FFFFFFFF"/>
      <name val="Candara"/>
      <family val="2"/>
    </font>
    <font>
      <sz val="8"/>
      <color rgb="FF000000"/>
      <name val="Candara"/>
      <family val="2"/>
    </font>
    <font>
      <sz val="8"/>
      <color theme="1"/>
      <name val="Calibri"/>
      <family val="2"/>
      <scheme val="minor"/>
    </font>
    <font>
      <sz val="11"/>
      <color theme="1"/>
      <name val="Aptos"/>
      <family val="2"/>
    </font>
    <font>
      <b/>
      <sz val="8"/>
      <color rgb="FF000000"/>
      <name val="Candara"/>
      <family val="2"/>
    </font>
    <font>
      <b/>
      <sz val="11"/>
      <color rgb="FF1B1F24"/>
      <name val="Calibri"/>
      <family val="2"/>
    </font>
    <font>
      <b/>
      <sz val="13"/>
      <color rgb="FF1F5E6B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8F0F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0" xfId="0" applyFont="1"/>
    <xf numFmtId="10" fontId="3" fillId="5" borderId="1" xfId="3" applyNumberFormat="1" applyFont="1" applyFill="1" applyBorder="1" applyAlignment="1">
      <alignment horizontal="center"/>
    </xf>
    <xf numFmtId="44" fontId="3" fillId="5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43" fontId="3" fillId="5" borderId="1" xfId="1" applyFont="1" applyFill="1" applyBorder="1" applyAlignment="1"/>
    <xf numFmtId="43" fontId="3" fillId="5" borderId="1" xfId="1" applyFont="1" applyFill="1" applyBorder="1" applyAlignment="1">
      <alignment horizontal="center"/>
    </xf>
    <xf numFmtId="43" fontId="3" fillId="0" borderId="1" xfId="1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49" fontId="6" fillId="0" borderId="7" xfId="3" applyNumberFormat="1" applyFont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49" fontId="3" fillId="0" borderId="7" xfId="3" applyNumberFormat="1" applyFont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49" fontId="3" fillId="0" borderId="9" xfId="3" applyNumberFormat="1" applyFont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44" fontId="3" fillId="0" borderId="13" xfId="2" applyFont="1" applyBorder="1" applyAlignment="1">
      <alignment horizontal="center"/>
    </xf>
    <xf numFmtId="44" fontId="8" fillId="2" borderId="1" xfId="2" applyFont="1" applyFill="1" applyBorder="1"/>
    <xf numFmtId="2" fontId="3" fillId="0" borderId="0" xfId="0" applyNumberFormat="1" applyFont="1"/>
    <xf numFmtId="164" fontId="9" fillId="0" borderId="1" xfId="0" applyNumberFormat="1" applyFont="1" applyBorder="1"/>
    <xf numFmtId="44" fontId="3" fillId="0" borderId="1" xfId="2" applyFont="1" applyBorder="1"/>
    <xf numFmtId="0" fontId="6" fillId="0" borderId="1" xfId="0" applyFont="1" applyBorder="1"/>
    <xf numFmtId="44" fontId="3" fillId="0" borderId="1" xfId="2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9" fontId="3" fillId="0" borderId="1" xfId="0" applyNumberFormat="1" applyFont="1" applyBorder="1" applyAlignment="1">
      <alignment horizontal="right"/>
    </xf>
    <xf numFmtId="44" fontId="6" fillId="0" borderId="1" xfId="2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indent="1"/>
    </xf>
    <xf numFmtId="0" fontId="9" fillId="0" borderId="1" xfId="0" applyFont="1" applyBorder="1"/>
    <xf numFmtId="0" fontId="9" fillId="0" borderId="0" xfId="0" applyFont="1"/>
    <xf numFmtId="43" fontId="8" fillId="2" borderId="1" xfId="1" applyFont="1" applyFill="1" applyBorder="1"/>
    <xf numFmtId="0" fontId="3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44" fontId="6" fillId="0" borderId="1" xfId="2" applyFont="1" applyBorder="1" applyAlignment="1">
      <alignment horizontal="center" vertical="center" wrapText="1"/>
    </xf>
    <xf numFmtId="44" fontId="3" fillId="0" borderId="1" xfId="2" applyFont="1" applyBorder="1" applyAlignment="1">
      <alignment horizontal="center" vertical="center" wrapText="1"/>
    </xf>
    <xf numFmtId="44" fontId="4" fillId="3" borderId="1" xfId="2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4" fontId="4" fillId="4" borderId="1" xfId="2" applyFont="1" applyFill="1" applyBorder="1" applyAlignment="1">
      <alignment horizontal="center"/>
    </xf>
    <xf numFmtId="164" fontId="9" fillId="6" borderId="1" xfId="0" applyNumberFormat="1" applyFont="1" applyFill="1" applyBorder="1"/>
    <xf numFmtId="44" fontId="8" fillId="7" borderId="1" xfId="2" applyFont="1" applyFill="1" applyBorder="1"/>
    <xf numFmtId="9" fontId="6" fillId="8" borderId="1" xfId="3" applyFont="1" applyFill="1" applyBorder="1"/>
    <xf numFmtId="44" fontId="8" fillId="0" borderId="1" xfId="2" applyFont="1" applyFill="1" applyBorder="1"/>
    <xf numFmtId="10" fontId="8" fillId="0" borderId="1" xfId="3" applyNumberFormat="1" applyFont="1" applyFill="1" applyBorder="1"/>
    <xf numFmtId="0" fontId="3" fillId="0" borderId="1" xfId="0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3" fillId="0" borderId="1" xfId="0" applyFont="1" applyBorder="1"/>
    <xf numFmtId="0" fontId="13" fillId="0" borderId="0" xfId="0" applyFont="1"/>
    <xf numFmtId="0" fontId="15" fillId="0" borderId="1" xfId="0" applyFont="1" applyBorder="1"/>
    <xf numFmtId="0" fontId="10" fillId="0" borderId="1" xfId="0" applyFont="1" applyBorder="1"/>
    <xf numFmtId="0" fontId="6" fillId="0" borderId="0" xfId="0" applyFont="1"/>
    <xf numFmtId="0" fontId="7" fillId="9" borderId="1" xfId="0" applyFont="1" applyFill="1" applyBorder="1"/>
    <xf numFmtId="44" fontId="6" fillId="0" borderId="14" xfId="0" applyNumberFormat="1" applyFont="1" applyBorder="1" applyAlignment="1">
      <alignment horizontal="center"/>
    </xf>
    <xf numFmtId="44" fontId="3" fillId="0" borderId="0" xfId="0" applyNumberFormat="1" applyFont="1"/>
    <xf numFmtId="0" fontId="6" fillId="0" borderId="2" xfId="0" applyFont="1" applyBorder="1"/>
    <xf numFmtId="0" fontId="6" fillId="0" borderId="14" xfId="0" applyFont="1" applyBorder="1" applyAlignment="1">
      <alignment horizontal="center"/>
    </xf>
    <xf numFmtId="0" fontId="3" fillId="0" borderId="15" xfId="0" applyFont="1" applyBorder="1"/>
    <xf numFmtId="0" fontId="13" fillId="10" borderId="14" xfId="0" applyFont="1" applyFill="1" applyBorder="1"/>
    <xf numFmtId="0" fontId="3" fillId="0" borderId="10" xfId="0" applyFont="1" applyBorder="1"/>
    <xf numFmtId="0" fontId="3" fillId="0" borderId="2" xfId="0" applyFont="1" applyBorder="1"/>
    <xf numFmtId="49" fontId="6" fillId="0" borderId="1" xfId="0" applyNumberFormat="1" applyFont="1" applyBorder="1" applyAlignment="1">
      <alignment horizontal="center" vertical="top"/>
    </xf>
    <xf numFmtId="49" fontId="3" fillId="0" borderId="7" xfId="3" applyNumberFormat="1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10" fontId="3" fillId="5" borderId="1" xfId="3" applyNumberFormat="1" applyFont="1" applyFill="1" applyBorder="1" applyAlignment="1">
      <alignment horizontal="center" vertical="center" wrapText="1"/>
    </xf>
    <xf numFmtId="0" fontId="3" fillId="5" borderId="1" xfId="3" applyNumberFormat="1" applyFont="1" applyFill="1" applyBorder="1" applyAlignment="1">
      <alignment horizontal="center"/>
    </xf>
    <xf numFmtId="166" fontId="3" fillId="5" borderId="1" xfId="1" applyNumberFormat="1" applyFont="1" applyFill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0" fontId="16" fillId="5" borderId="1" xfId="3" applyNumberFormat="1" applyFont="1" applyFill="1" applyBorder="1" applyAlignment="1">
      <alignment horizontal="center"/>
    </xf>
    <xf numFmtId="165" fontId="6" fillId="2" borderId="1" xfId="1" applyNumberFormat="1" applyFont="1" applyFill="1" applyBorder="1" applyAlignment="1"/>
    <xf numFmtId="43" fontId="3" fillId="5" borderId="1" xfId="1" applyFont="1" applyFill="1" applyBorder="1" applyAlignment="1">
      <alignment horizontal="center" vertical="center"/>
    </xf>
    <xf numFmtId="10" fontId="3" fillId="11" borderId="1" xfId="3" applyNumberFormat="1" applyFont="1" applyFill="1" applyBorder="1" applyAlignment="1">
      <alignment horizontal="center" vertical="center"/>
    </xf>
    <xf numFmtId="44" fontId="3" fillId="0" borderId="2" xfId="2" applyFont="1" applyBorder="1" applyAlignment="1">
      <alignment horizontal="center" vertical="center" wrapText="1"/>
    </xf>
    <xf numFmtId="44" fontId="3" fillId="12" borderId="4" xfId="2" applyFont="1" applyFill="1" applyBorder="1" applyAlignment="1">
      <alignment horizontal="center" vertical="center" wrapText="1"/>
    </xf>
    <xf numFmtId="167" fontId="3" fillId="13" borderId="1" xfId="1" applyNumberFormat="1" applyFont="1" applyFill="1" applyBorder="1"/>
    <xf numFmtId="44" fontId="6" fillId="12" borderId="4" xfId="2" applyFont="1" applyFill="1" applyBorder="1" applyAlignment="1">
      <alignment horizontal="center" vertical="center" wrapText="1"/>
    </xf>
    <xf numFmtId="167" fontId="6" fillId="13" borderId="1" xfId="1" applyNumberFormat="1" applyFont="1" applyFill="1" applyBorder="1"/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9" fontId="3" fillId="0" borderId="1" xfId="3" applyFont="1" applyBorder="1" applyAlignment="1">
      <alignment horizontal="center" vertical="center" wrapText="1"/>
    </xf>
    <xf numFmtId="10" fontId="3" fillId="0" borderId="1" xfId="3" applyNumberFormat="1" applyFont="1" applyBorder="1"/>
    <xf numFmtId="0" fontId="0" fillId="0" borderId="1" xfId="0" applyBorder="1"/>
    <xf numFmtId="44" fontId="6" fillId="0" borderId="0" xfId="2" applyFont="1" applyBorder="1" applyAlignment="1">
      <alignment horizontal="center" vertical="center" wrapText="1"/>
    </xf>
    <xf numFmtId="10" fontId="6" fillId="0" borderId="1" xfId="3" applyNumberFormat="1" applyFont="1" applyBorder="1" applyAlignment="1">
      <alignment horizontal="center" vertical="center" wrapText="1"/>
    </xf>
    <xf numFmtId="168" fontId="3" fillId="0" borderId="1" xfId="2" applyNumberFormat="1" applyFont="1" applyFill="1" applyBorder="1"/>
    <xf numFmtId="168" fontId="9" fillId="0" borderId="1" xfId="2" applyNumberFormat="1" applyFont="1" applyFill="1" applyBorder="1" applyAlignment="1">
      <alignment wrapText="1"/>
    </xf>
    <xf numFmtId="168" fontId="6" fillId="0" borderId="1" xfId="2" applyNumberFormat="1" applyFont="1" applyFill="1" applyBorder="1"/>
    <xf numFmtId="168" fontId="12" fillId="0" borderId="1" xfId="2" applyNumberFormat="1" applyFont="1" applyFill="1" applyBorder="1"/>
    <xf numFmtId="168" fontId="14" fillId="0" borderId="1" xfId="2" applyNumberFormat="1" applyFont="1" applyFill="1" applyBorder="1"/>
    <xf numFmtId="168" fontId="6" fillId="0" borderId="1" xfId="2" applyNumberFormat="1" applyFont="1" applyBorder="1"/>
    <xf numFmtId="168" fontId="7" fillId="9" borderId="1" xfId="2" applyNumberFormat="1" applyFont="1" applyFill="1" applyBorder="1"/>
    <xf numFmtId="169" fontId="0" fillId="0" borderId="0" xfId="2" applyNumberFormat="1" applyFont="1"/>
    <xf numFmtId="0" fontId="3" fillId="0" borderId="1" xfId="0" applyFont="1" applyBorder="1" applyAlignment="1">
      <alignment horizontal="center"/>
    </xf>
    <xf numFmtId="9" fontId="3" fillId="0" borderId="1" xfId="3" applyFont="1" applyBorder="1" applyAlignment="1">
      <alignment horizontal="center"/>
    </xf>
    <xf numFmtId="170" fontId="3" fillId="0" borderId="1" xfId="3" applyNumberFormat="1" applyFont="1" applyBorder="1" applyAlignment="1">
      <alignment horizontal="center"/>
    </xf>
    <xf numFmtId="171" fontId="3" fillId="0" borderId="1" xfId="0" applyNumberFormat="1" applyFont="1" applyBorder="1"/>
    <xf numFmtId="44" fontId="18" fillId="10" borderId="1" xfId="2" applyFont="1" applyFill="1" applyBorder="1"/>
    <xf numFmtId="9" fontId="0" fillId="0" borderId="0" xfId="3" applyFont="1"/>
    <xf numFmtId="44" fontId="0" fillId="0" borderId="1" xfId="2" applyFont="1" applyBorder="1"/>
    <xf numFmtId="0" fontId="0" fillId="0" borderId="18" xfId="0" applyBorder="1"/>
    <xf numFmtId="44" fontId="0" fillId="0" borderId="18" xfId="2" applyFont="1" applyBorder="1"/>
    <xf numFmtId="0" fontId="19" fillId="14" borderId="0" xfId="0" applyFont="1" applyFill="1" applyAlignment="1">
      <alignment horizontal="right"/>
    </xf>
    <xf numFmtId="44" fontId="17" fillId="14" borderId="0" xfId="2" applyFont="1" applyFill="1" applyBorder="1"/>
    <xf numFmtId="168" fontId="0" fillId="0" borderId="0" xfId="0" applyNumberFormat="1"/>
    <xf numFmtId="43" fontId="17" fillId="14" borderId="0" xfId="1" applyFont="1" applyFill="1" applyBorder="1"/>
    <xf numFmtId="169" fontId="3" fillId="0" borderId="1" xfId="2" applyNumberFormat="1" applyFont="1" applyBorder="1" applyAlignment="1">
      <alignment horizontal="center" vertical="center" wrapText="1"/>
    </xf>
    <xf numFmtId="172" fontId="3" fillId="0" borderId="0" xfId="0" applyNumberFormat="1" applyFont="1"/>
    <xf numFmtId="0" fontId="21" fillId="15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vertical="center" wrapText="1"/>
    </xf>
    <xf numFmtId="0" fontId="22" fillId="16" borderId="1" xfId="0" applyFont="1" applyFill="1" applyBorder="1" applyAlignment="1">
      <alignment horizontal="center" vertical="center"/>
    </xf>
    <xf numFmtId="44" fontId="22" fillId="16" borderId="1" xfId="2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3" fillId="7" borderId="1" xfId="3" applyNumberFormat="1" applyFont="1" applyFill="1" applyBorder="1" applyAlignment="1">
      <alignment horizontal="center"/>
    </xf>
    <xf numFmtId="165" fontId="3" fillId="0" borderId="2" xfId="1" applyNumberFormat="1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right"/>
    </xf>
    <xf numFmtId="44" fontId="3" fillId="0" borderId="0" xfId="2" applyFont="1" applyBorder="1" applyAlignment="1">
      <alignment horizontal="right"/>
    </xf>
    <xf numFmtId="9" fontId="6" fillId="0" borderId="1" xfId="0" applyNumberFormat="1" applyFont="1" applyBorder="1" applyAlignment="1">
      <alignment horizontal="right"/>
    </xf>
    <xf numFmtId="44" fontId="25" fillId="12" borderId="1" xfId="2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/>
    </xf>
    <xf numFmtId="10" fontId="8" fillId="18" borderId="1" xfId="3" applyNumberFormat="1" applyFont="1" applyFill="1" applyBorder="1"/>
    <xf numFmtId="44" fontId="8" fillId="18" borderId="1" xfId="2" applyFont="1" applyFill="1" applyBorder="1"/>
    <xf numFmtId="44" fontId="8" fillId="2" borderId="19" xfId="2" applyFont="1" applyFill="1" applyBorder="1"/>
    <xf numFmtId="9" fontId="3" fillId="0" borderId="0" xfId="0" applyNumberFormat="1" applyFont="1"/>
    <xf numFmtId="2" fontId="6" fillId="5" borderId="1" xfId="0" applyNumberFormat="1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0" fontId="21" fillId="15" borderId="20" xfId="0" applyFont="1" applyFill="1" applyBorder="1" applyAlignment="1">
      <alignment horizontal="center" vertical="center"/>
    </xf>
    <xf numFmtId="44" fontId="6" fillId="12" borderId="1" xfId="2" applyFont="1" applyFill="1" applyBorder="1"/>
    <xf numFmtId="9" fontId="6" fillId="12" borderId="1" xfId="3" applyFont="1" applyFill="1" applyBorder="1"/>
    <xf numFmtId="0" fontId="6" fillId="12" borderId="1" xfId="0" applyFont="1" applyFill="1" applyBorder="1"/>
    <xf numFmtId="10" fontId="6" fillId="12" borderId="1" xfId="0" applyNumberFormat="1" applyFont="1" applyFill="1" applyBorder="1"/>
    <xf numFmtId="9" fontId="3" fillId="0" borderId="0" xfId="3" applyFont="1"/>
    <xf numFmtId="173" fontId="22" fillId="16" borderId="1" xfId="2" applyNumberFormat="1" applyFont="1" applyFill="1" applyBorder="1" applyAlignment="1">
      <alignment horizontal="center" vertical="center"/>
    </xf>
    <xf numFmtId="44" fontId="6" fillId="12" borderId="1" xfId="0" applyNumberFormat="1" applyFont="1" applyFill="1" applyBorder="1"/>
    <xf numFmtId="43" fontId="3" fillId="0" borderId="0" xfId="1" applyFont="1"/>
    <xf numFmtId="43" fontId="3" fillId="2" borderId="0" xfId="1" applyFont="1" applyFill="1"/>
    <xf numFmtId="44" fontId="0" fillId="0" borderId="0" xfId="0" applyNumberFormat="1"/>
    <xf numFmtId="0" fontId="22" fillId="8" borderId="1" xfId="0" applyFont="1" applyFill="1" applyBorder="1" applyAlignment="1">
      <alignment horizontal="center" vertical="center"/>
    </xf>
    <xf numFmtId="0" fontId="21" fillId="15" borderId="2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6" fillId="19" borderId="0" xfId="0" applyFont="1" applyFill="1" applyAlignment="1">
      <alignment vertical="center" wrapText="1"/>
    </xf>
    <xf numFmtId="0" fontId="27" fillId="0" borderId="0" xfId="0" applyFont="1"/>
    <xf numFmtId="0" fontId="26" fillId="0" borderId="0" xfId="0" applyFont="1"/>
    <xf numFmtId="9" fontId="0" fillId="0" borderId="0" xfId="0" applyNumberFormat="1"/>
    <xf numFmtId="2" fontId="0" fillId="0" borderId="0" xfId="0" applyNumberFormat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19" fillId="14" borderId="0" xfId="0" applyFont="1" applyFill="1" applyAlignment="1">
      <alignment horizontal="right"/>
    </xf>
    <xf numFmtId="0" fontId="20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7" fillId="3" borderId="12" xfId="0" applyFont="1" applyFill="1" applyBorder="1" applyAlignment="1">
      <alignment horizontal="center" vertical="center" wrapText="1"/>
    </xf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3"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numRef>
              <c:f>'PUNTEGGIO ECONOMICO'!$B$2:$B$11</c:f>
              <c:numCache>
                <c:formatCode>0.00%</c:formatCode>
                <c:ptCount val="10"/>
                <c:pt idx="0">
                  <c:v>0.90589758342922899</c:v>
                </c:pt>
                <c:pt idx="1">
                  <c:v>0.12</c:v>
                </c:pt>
                <c:pt idx="2">
                  <c:v>0.13799999999999998</c:v>
                </c:pt>
                <c:pt idx="3">
                  <c:v>0.15869999999999998</c:v>
                </c:pt>
                <c:pt idx="4">
                  <c:v>0.18250499999999997</c:v>
                </c:pt>
                <c:pt idx="5">
                  <c:v>0.20988074999999995</c:v>
                </c:pt>
                <c:pt idx="6">
                  <c:v>0.24136286249999991</c:v>
                </c:pt>
                <c:pt idx="7">
                  <c:v>0.2775672918749999</c:v>
                </c:pt>
                <c:pt idx="8">
                  <c:v>0.31920238565624987</c:v>
                </c:pt>
                <c:pt idx="9">
                  <c:v>0.36708274350468734</c:v>
                </c:pt>
              </c:numCache>
            </c:numRef>
          </c:xVal>
          <c:yVal>
            <c:numRef>
              <c:f>'PUNTEGGIO ECONOMICO'!$D$2:$D$11</c:f>
              <c:numCache>
                <c:formatCode>0.00</c:formatCode>
                <c:ptCount val="10"/>
                <c:pt idx="0">
                  <c:v>20</c:v>
                </c:pt>
                <c:pt idx="1">
                  <c:v>10.905878101707884</c:v>
                </c:pt>
                <c:pt idx="2">
                  <c:v>11.372867809826534</c:v>
                </c:pt>
                <c:pt idx="3">
                  <c:v>11.859854017580968</c:v>
                </c:pt>
                <c:pt idx="4">
                  <c:v>12.367692975099905</c:v>
                </c:pt>
                <c:pt idx="5">
                  <c:v>12.897277597143175</c:v>
                </c:pt>
                <c:pt idx="6">
                  <c:v>13.449539033081273</c:v>
                </c:pt>
                <c:pt idx="7">
                  <c:v>14.025448304101403</c:v>
                </c:pt>
                <c:pt idx="8">
                  <c:v>14.626018010518697</c:v>
                </c:pt>
                <c:pt idx="9">
                  <c:v>15.252304112194505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E-4C85-B1A9-7380F32AB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788719"/>
        <c:axId val="1104781231"/>
      </c:scatterChart>
      <c:valAx>
        <c:axId val="1104788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>
                    <a:solidFill>
                      <a:srgbClr val="FF0000"/>
                    </a:solidFill>
                  </a:rPr>
                  <a:t>Ribasso</a:t>
                </a:r>
                <a:r>
                  <a:rPr lang="it-IT" b="1" baseline="0">
                    <a:solidFill>
                      <a:srgbClr val="FF0000"/>
                    </a:solidFill>
                  </a:rPr>
                  <a:t> percentuale</a:t>
                </a:r>
                <a:endParaRPr lang="it-IT" b="1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4781231"/>
        <c:crosses val="autoZero"/>
        <c:crossBetween val="midCat"/>
      </c:valAx>
      <c:valAx>
        <c:axId val="110478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>
                    <a:solidFill>
                      <a:srgbClr val="FF0000"/>
                    </a:solidFill>
                  </a:rPr>
                  <a:t>Punteggio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478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601233</xdr:colOff>
      <xdr:row>0</xdr:row>
      <xdr:rowOff>0</xdr:rowOff>
    </xdr:from>
    <xdr:to>
      <xdr:col>15</xdr:col>
      <xdr:colOff>479313</xdr:colOff>
      <xdr:row>17</xdr:row>
      <xdr:rowOff>121920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7299D45-56CD-CB52-2EC2-463DE2397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526677</xdr:colOff>
      <xdr:row>12</xdr:row>
      <xdr:rowOff>93681</xdr:rowOff>
    </xdr:from>
    <xdr:to>
      <xdr:col>5</xdr:col>
      <xdr:colOff>488428</xdr:colOff>
      <xdr:row>16</xdr:row>
      <xdr:rowOff>102945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FB72030-7197-4B1F-97E5-F4929DFB6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1257" y="2196801"/>
          <a:ext cx="2491591" cy="710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91440</xdr:colOff>
      <xdr:row>0</xdr:row>
      <xdr:rowOff>91440</xdr:rowOff>
    </xdr:from>
    <xdr:to>
      <xdr:col>32</xdr:col>
      <xdr:colOff>352</xdr:colOff>
      <xdr:row>11</xdr:row>
      <xdr:rowOff>144952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32CFA9F-CE93-9C1E-5EAB-AABEC676B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91440"/>
          <a:ext cx="4061812" cy="1988992"/>
        </a:xfrm>
        <a:prstGeom prst="rect">
          <a:avLst/>
        </a:prstGeom>
      </xdr:spPr>
    </xdr:pic>
    <xdr:clientData/>
  </xdr:twoCellAnchor>
  <xdr:twoCellAnchor editAs="oneCell">
    <xdr:from>
      <xdr:col>27</xdr:col>
      <xdr:colOff>243840</xdr:colOff>
      <xdr:row>11</xdr:row>
      <xdr:rowOff>0</xdr:rowOff>
    </xdr:from>
    <xdr:to>
      <xdr:col>32</xdr:col>
      <xdr:colOff>23201</xdr:colOff>
      <xdr:row>27</xdr:row>
      <xdr:rowOff>129794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9B7A16D-CFB2-BB8A-9005-0FCA4107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25200" y="2072640"/>
          <a:ext cx="3932261" cy="2933954"/>
        </a:xfrm>
        <a:prstGeom prst="rect">
          <a:avLst/>
        </a:prstGeom>
      </xdr:spPr>
    </xdr:pic>
    <xdr:clientData/>
  </xdr:twoCellAnchor>
  <xdr:twoCellAnchor editAs="oneCell">
    <xdr:from>
      <xdr:col>27</xdr:col>
      <xdr:colOff>281940</xdr:colOff>
      <xdr:row>26</xdr:row>
      <xdr:rowOff>152400</xdr:rowOff>
    </xdr:from>
    <xdr:to>
      <xdr:col>31</xdr:col>
      <xdr:colOff>427020</xdr:colOff>
      <xdr:row>51</xdr:row>
      <xdr:rowOff>367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ACEAC4E2-2847-5492-3F81-07BB8093E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63300" y="5067300"/>
          <a:ext cx="3467400" cy="4229467"/>
        </a:xfrm>
        <a:prstGeom prst="rect">
          <a:avLst/>
        </a:prstGeom>
      </xdr:spPr>
    </xdr:pic>
    <xdr:clientData/>
  </xdr:twoCellAnchor>
  <xdr:twoCellAnchor editAs="oneCell">
    <xdr:from>
      <xdr:col>29</xdr:col>
      <xdr:colOff>2202180</xdr:colOff>
      <xdr:row>26</xdr:row>
      <xdr:rowOff>160020</xdr:rowOff>
    </xdr:from>
    <xdr:to>
      <xdr:col>34</xdr:col>
      <xdr:colOff>289873</xdr:colOff>
      <xdr:row>55</xdr:row>
      <xdr:rowOff>99496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1A77A804-526F-6F8A-8A5B-DE9DC01AD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44700" y="5074920"/>
          <a:ext cx="3612193" cy="5029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AEA9-15C4-4767-85A2-34ECA4DDC693}">
  <sheetPr>
    <tabColor theme="5" tint="-0.249977111117893"/>
  </sheetPr>
  <dimension ref="A1:B8"/>
  <sheetViews>
    <sheetView tabSelected="1" zoomScale="115" zoomScaleNormal="115" workbookViewId="0">
      <selection activeCell="B14" sqref="B14"/>
    </sheetView>
  </sheetViews>
  <sheetFormatPr baseColWidth="10" defaultColWidth="8.83203125" defaultRowHeight="14" x14ac:dyDescent="0.2"/>
  <cols>
    <col min="1" max="1" width="20.6640625" style="4" bestFit="1" customWidth="1"/>
    <col min="2" max="2" width="60.1640625" style="4" customWidth="1"/>
    <col min="3" max="16384" width="8.83203125" style="4"/>
  </cols>
  <sheetData>
    <row r="1" spans="1:2" x14ac:dyDescent="0.2">
      <c r="A1" s="16" t="s">
        <v>0</v>
      </c>
      <c r="B1" s="17" t="s">
        <v>299</v>
      </c>
    </row>
    <row r="2" spans="1:2" ht="30" x14ac:dyDescent="0.2">
      <c r="A2" s="18" t="s">
        <v>1</v>
      </c>
      <c r="B2" s="69" t="s">
        <v>300</v>
      </c>
    </row>
    <row r="3" spans="1:2" x14ac:dyDescent="0.2">
      <c r="A3" s="18" t="s">
        <v>2</v>
      </c>
      <c r="B3" s="19" t="s">
        <v>301</v>
      </c>
    </row>
    <row r="4" spans="1:2" x14ac:dyDescent="0.2">
      <c r="A4" s="18" t="s">
        <v>3</v>
      </c>
      <c r="B4" s="19"/>
    </row>
    <row r="5" spans="1:2" x14ac:dyDescent="0.2">
      <c r="A5" s="22" t="s">
        <v>4</v>
      </c>
      <c r="B5" s="23">
        <v>695200</v>
      </c>
    </row>
    <row r="6" spans="1:2" ht="45" x14ac:dyDescent="0.2">
      <c r="A6" s="162" t="s">
        <v>463</v>
      </c>
      <c r="B6" s="23">
        <v>1390400</v>
      </c>
    </row>
    <row r="7" spans="1:2" x14ac:dyDescent="0.2">
      <c r="A7" s="22" t="s">
        <v>461</v>
      </c>
      <c r="B7" s="23" t="s">
        <v>462</v>
      </c>
    </row>
    <row r="8" spans="1:2" ht="15" thickBot="1" x14ac:dyDescent="0.25">
      <c r="A8" s="20" t="s">
        <v>5</v>
      </c>
      <c r="B8" s="21" t="s">
        <v>302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EB39-FB34-4B20-9DB4-A821CC1772A3}">
  <sheetPr>
    <tabColor theme="5" tint="-0.249977111117893"/>
  </sheetPr>
  <dimension ref="A1:O35"/>
  <sheetViews>
    <sheetView zoomScaleNormal="100" workbookViewId="0">
      <selection activeCell="A8" sqref="A8"/>
    </sheetView>
  </sheetViews>
  <sheetFormatPr baseColWidth="10" defaultColWidth="96.1640625" defaultRowHeight="14" x14ac:dyDescent="0.2"/>
  <cols>
    <col min="1" max="1" width="18.5" style="4" customWidth="1"/>
    <col min="2" max="2" width="6.83203125" style="4" bestFit="1" customWidth="1"/>
    <col min="3" max="3" width="6.5" style="4" bestFit="1" customWidth="1"/>
    <col min="4" max="4" width="7.5" style="4" customWidth="1"/>
    <col min="5" max="6" width="7.1640625" style="4" customWidth="1"/>
    <col min="7" max="8" width="6.83203125" style="4" customWidth="1"/>
    <col min="9" max="9" width="7.83203125" style="4" customWidth="1"/>
    <col min="10" max="10" width="8" style="4" bestFit="1" customWidth="1"/>
    <col min="11" max="11" width="4.6640625" style="4" customWidth="1"/>
    <col min="12" max="12" width="7.5" style="4" bestFit="1" customWidth="1"/>
    <col min="13" max="13" width="85.83203125" style="4" bestFit="1" customWidth="1"/>
    <col min="14" max="14" width="11.1640625" style="4" bestFit="1" customWidth="1"/>
    <col min="15" max="15" width="10.33203125" style="4" bestFit="1" customWidth="1"/>
    <col min="16" max="16384" width="96.1640625" style="4"/>
  </cols>
  <sheetData>
    <row r="1" spans="1:15" x14ac:dyDescent="0.2">
      <c r="A1" s="1"/>
      <c r="B1" s="70" t="s">
        <v>201</v>
      </c>
      <c r="C1" s="70" t="s">
        <v>202</v>
      </c>
      <c r="D1" s="70" t="s">
        <v>203</v>
      </c>
      <c r="E1" s="70" t="s">
        <v>204</v>
      </c>
      <c r="F1" s="70" t="s">
        <v>205</v>
      </c>
      <c r="G1" s="70" t="s">
        <v>206</v>
      </c>
      <c r="H1" s="70" t="s">
        <v>207</v>
      </c>
      <c r="I1" s="3" t="s">
        <v>6</v>
      </c>
      <c r="J1" s="3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ht="15" x14ac:dyDescent="0.2">
      <c r="A2" s="70" t="s">
        <v>12</v>
      </c>
      <c r="B2" s="72" t="s">
        <v>303</v>
      </c>
      <c r="C2" s="72" t="s">
        <v>209</v>
      </c>
      <c r="D2" s="72" t="s">
        <v>303</v>
      </c>
      <c r="E2" s="72" t="s">
        <v>209</v>
      </c>
      <c r="F2" s="72">
        <v>7</v>
      </c>
      <c r="G2" s="72" t="s">
        <v>303</v>
      </c>
      <c r="H2" s="72" t="s">
        <v>209</v>
      </c>
      <c r="I2" s="73" t="e">
        <f t="shared" ref="I2:I7" si="0">SUM(B14:H14)</f>
        <v>#N/A</v>
      </c>
      <c r="J2" s="73" t="e">
        <f t="shared" ref="J2:J7" si="1">IF($N$13="T",I2/MAX($I$2:$I$11)*$N$9,SUM(B26:H26))</f>
        <v>#N/A</v>
      </c>
      <c r="L2" s="70" t="s">
        <v>201</v>
      </c>
      <c r="M2" s="71" t="s">
        <v>304</v>
      </c>
      <c r="N2" s="77">
        <v>10</v>
      </c>
      <c r="O2" s="78" t="s">
        <v>13</v>
      </c>
    </row>
    <row r="3" spans="1:15" ht="15" x14ac:dyDescent="0.2">
      <c r="A3" s="2" t="s">
        <v>177</v>
      </c>
      <c r="B3" s="122" t="s">
        <v>303</v>
      </c>
      <c r="C3" s="122" t="s">
        <v>209</v>
      </c>
      <c r="D3" s="122" t="s">
        <v>303</v>
      </c>
      <c r="E3" s="122" t="s">
        <v>13</v>
      </c>
      <c r="F3" s="122">
        <v>5</v>
      </c>
      <c r="G3" s="122" t="s">
        <v>209</v>
      </c>
      <c r="H3" s="122" t="s">
        <v>303</v>
      </c>
      <c r="I3" s="74" t="e">
        <f t="shared" si="0"/>
        <v>#N/A</v>
      </c>
      <c r="J3" s="74" t="e">
        <f t="shared" si="1"/>
        <v>#N/A</v>
      </c>
      <c r="L3" s="70" t="s">
        <v>305</v>
      </c>
      <c r="M3" s="71" t="s">
        <v>306</v>
      </c>
      <c r="N3" s="77">
        <v>5</v>
      </c>
      <c r="O3" s="78" t="s">
        <v>13</v>
      </c>
    </row>
    <row r="4" spans="1:15" ht="15" x14ac:dyDescent="0.2">
      <c r="A4" s="2" t="s">
        <v>188</v>
      </c>
      <c r="B4" s="122" t="s">
        <v>13</v>
      </c>
      <c r="C4" s="122" t="s">
        <v>13</v>
      </c>
      <c r="D4" s="122" t="s">
        <v>303</v>
      </c>
      <c r="E4" s="122" t="s">
        <v>13</v>
      </c>
      <c r="F4" s="122">
        <v>7</v>
      </c>
      <c r="G4" s="122" t="s">
        <v>303</v>
      </c>
      <c r="H4" s="122" t="s">
        <v>13</v>
      </c>
      <c r="I4" s="74" t="e">
        <f t="shared" si="0"/>
        <v>#N/A</v>
      </c>
      <c r="J4" s="74" t="e">
        <f t="shared" si="1"/>
        <v>#N/A</v>
      </c>
      <c r="L4" s="70" t="s">
        <v>307</v>
      </c>
      <c r="M4" s="71" t="s">
        <v>308</v>
      </c>
      <c r="N4" s="77">
        <v>5</v>
      </c>
      <c r="O4" s="78" t="s">
        <v>13</v>
      </c>
    </row>
    <row r="5" spans="1:15" ht="15" x14ac:dyDescent="0.2">
      <c r="A5" s="2" t="s">
        <v>189</v>
      </c>
      <c r="B5" s="122" t="s">
        <v>210</v>
      </c>
      <c r="C5" s="122" t="s">
        <v>303</v>
      </c>
      <c r="D5" s="122" t="s">
        <v>303</v>
      </c>
      <c r="E5" s="122" t="s">
        <v>209</v>
      </c>
      <c r="F5" s="122">
        <v>5</v>
      </c>
      <c r="G5" s="122" t="s">
        <v>303</v>
      </c>
      <c r="H5" s="122" t="s">
        <v>303</v>
      </c>
      <c r="I5" s="74" t="e">
        <f t="shared" si="0"/>
        <v>#N/A</v>
      </c>
      <c r="J5" s="74" t="e">
        <f t="shared" si="1"/>
        <v>#N/A</v>
      </c>
      <c r="L5" s="70" t="s">
        <v>203</v>
      </c>
      <c r="M5" s="71" t="s">
        <v>309</v>
      </c>
      <c r="N5" s="77">
        <v>25</v>
      </c>
      <c r="O5" s="78" t="s">
        <v>13</v>
      </c>
    </row>
    <row r="6" spans="1:15" ht="15" x14ac:dyDescent="0.2">
      <c r="A6" s="2" t="s">
        <v>190</v>
      </c>
      <c r="B6" s="122" t="s">
        <v>13</v>
      </c>
      <c r="C6" s="122" t="s">
        <v>303</v>
      </c>
      <c r="D6" s="122" t="s">
        <v>303</v>
      </c>
      <c r="E6" s="122" t="s">
        <v>209</v>
      </c>
      <c r="F6" s="122">
        <v>5</v>
      </c>
      <c r="G6" s="122" t="s">
        <v>209</v>
      </c>
      <c r="H6" s="122" t="s">
        <v>303</v>
      </c>
      <c r="I6" s="74" t="e">
        <f t="shared" si="0"/>
        <v>#N/A</v>
      </c>
      <c r="J6" s="74" t="e">
        <f t="shared" si="1"/>
        <v>#N/A</v>
      </c>
      <c r="L6" s="70" t="s">
        <v>204</v>
      </c>
      <c r="M6" s="71" t="s">
        <v>310</v>
      </c>
      <c r="N6" s="77">
        <v>24</v>
      </c>
      <c r="O6" s="78" t="s">
        <v>13</v>
      </c>
    </row>
    <row r="7" spans="1:15" ht="15" x14ac:dyDescent="0.2">
      <c r="A7" s="2" t="s">
        <v>191</v>
      </c>
      <c r="B7" s="122" t="s">
        <v>13</v>
      </c>
      <c r="C7" s="122" t="s">
        <v>303</v>
      </c>
      <c r="D7" s="122" t="s">
        <v>303</v>
      </c>
      <c r="E7" s="122" t="s">
        <v>209</v>
      </c>
      <c r="F7" s="122">
        <v>5</v>
      </c>
      <c r="G7" s="122" t="s">
        <v>303</v>
      </c>
      <c r="H7" s="122" t="s">
        <v>303</v>
      </c>
      <c r="I7" s="74" t="e">
        <f t="shared" si="0"/>
        <v>#N/A</v>
      </c>
      <c r="J7" s="74" t="e">
        <f t="shared" si="1"/>
        <v>#N/A</v>
      </c>
      <c r="L7" s="70" t="s">
        <v>311</v>
      </c>
      <c r="M7" s="71" t="s">
        <v>312</v>
      </c>
      <c r="N7" s="77">
        <v>1</v>
      </c>
      <c r="O7" s="78" t="s">
        <v>14</v>
      </c>
    </row>
    <row r="8" spans="1:15" ht="15" x14ac:dyDescent="0.2">
      <c r="A8" s="2" t="s">
        <v>212</v>
      </c>
      <c r="B8" s="122" t="s">
        <v>209</v>
      </c>
      <c r="C8" s="122" t="s">
        <v>303</v>
      </c>
      <c r="D8" s="122" t="s">
        <v>303</v>
      </c>
      <c r="E8" s="122" t="s">
        <v>210</v>
      </c>
      <c r="F8" s="122">
        <v>5</v>
      </c>
      <c r="G8" s="122" t="s">
        <v>303</v>
      </c>
      <c r="H8" s="122" t="s">
        <v>13</v>
      </c>
      <c r="I8" s="74" t="e">
        <f>SUM(B20:H20)</f>
        <v>#N/A</v>
      </c>
      <c r="J8" s="74" t="e">
        <f>IF($N$13="T",I8/MAX($I$2:$I$11)*$N$9,SUM(B32:H32))</f>
        <v>#N/A</v>
      </c>
      <c r="L8" s="70" t="s">
        <v>313</v>
      </c>
      <c r="M8" s="71" t="s">
        <v>314</v>
      </c>
      <c r="N8" s="77">
        <v>10</v>
      </c>
      <c r="O8" s="78" t="s">
        <v>14</v>
      </c>
    </row>
    <row r="9" spans="1:15" x14ac:dyDescent="0.2">
      <c r="A9" s="2" t="s">
        <v>213</v>
      </c>
      <c r="B9" s="122" t="s">
        <v>13</v>
      </c>
      <c r="C9" s="122" t="s">
        <v>303</v>
      </c>
      <c r="D9" s="122" t="s">
        <v>303</v>
      </c>
      <c r="E9" s="122" t="s">
        <v>209</v>
      </c>
      <c r="F9" s="122">
        <v>5</v>
      </c>
      <c r="G9" s="122" t="s">
        <v>209</v>
      </c>
      <c r="H9" s="122" t="s">
        <v>13</v>
      </c>
      <c r="I9" s="74" t="e">
        <f>SUM(B21:H21)</f>
        <v>#N/A</v>
      </c>
      <c r="J9" s="74" t="e">
        <f>IF($N$13="T",I9/MAX($I$2:$I$11)*$N$9,SUM(B33:H33))</f>
        <v>#N/A</v>
      </c>
      <c r="M9" s="75" t="s">
        <v>101</v>
      </c>
      <c r="N9" s="76">
        <f>SUM(N2:N8)</f>
        <v>80</v>
      </c>
    </row>
    <row r="10" spans="1:15" x14ac:dyDescent="0.2">
      <c r="A10" s="2" t="s">
        <v>214</v>
      </c>
      <c r="B10" s="122" t="s">
        <v>209</v>
      </c>
      <c r="C10" s="122" t="s">
        <v>210</v>
      </c>
      <c r="D10" s="122" t="s">
        <v>303</v>
      </c>
      <c r="E10" s="122" t="s">
        <v>209</v>
      </c>
      <c r="F10" s="122">
        <v>5</v>
      </c>
      <c r="G10" s="122" t="s">
        <v>210</v>
      </c>
      <c r="H10" s="122" t="s">
        <v>303</v>
      </c>
      <c r="I10" s="74" t="e">
        <f>SUM(B22:H22)</f>
        <v>#N/A</v>
      </c>
      <c r="J10" s="74" t="e">
        <f>IF($N$13="T",I10/MAX($I$2:$I$11)*$N$9,SUM(B34:H34))</f>
        <v>#N/A</v>
      </c>
      <c r="M10" s="75" t="s">
        <v>192</v>
      </c>
      <c r="N10" s="76">
        <f>SUMIF(O2:O8,"D",N2:N8)</f>
        <v>69</v>
      </c>
    </row>
    <row r="11" spans="1:15" x14ac:dyDescent="0.2">
      <c r="A11" s="2" t="s">
        <v>215</v>
      </c>
      <c r="B11" s="122" t="s">
        <v>13</v>
      </c>
      <c r="C11" s="122" t="s">
        <v>209</v>
      </c>
      <c r="D11" s="122" t="s">
        <v>210</v>
      </c>
      <c r="E11" s="122" t="s">
        <v>210</v>
      </c>
      <c r="F11" s="122">
        <v>7</v>
      </c>
      <c r="G11" s="122" t="s">
        <v>209</v>
      </c>
      <c r="H11" s="122" t="s">
        <v>303</v>
      </c>
      <c r="I11" s="74" t="e">
        <f>SUM(B23:H23)</f>
        <v>#N/A</v>
      </c>
      <c r="J11" s="74" t="e">
        <f>IF($N$13="T",I11/MAX($I$2:$I$11)*$N$9,SUM(B35:H35))</f>
        <v>#N/A</v>
      </c>
      <c r="M11" s="75" t="s">
        <v>193</v>
      </c>
      <c r="N11" s="76">
        <f>SUMIF(O2:O8,"T",N2:N8)</f>
        <v>11</v>
      </c>
    </row>
    <row r="12" spans="1:15" x14ac:dyDescent="0.2">
      <c r="M12" s="75" t="s">
        <v>102</v>
      </c>
      <c r="N12" s="76"/>
    </row>
    <row r="13" spans="1:15" x14ac:dyDescent="0.2">
      <c r="A13" s="1"/>
      <c r="B13" s="70" t="s">
        <v>201</v>
      </c>
      <c r="C13" s="70" t="s">
        <v>202</v>
      </c>
      <c r="D13" s="70" t="s">
        <v>203</v>
      </c>
      <c r="E13" s="70" t="s">
        <v>204</v>
      </c>
      <c r="F13" s="70" t="s">
        <v>205</v>
      </c>
      <c r="G13" s="70" t="s">
        <v>206</v>
      </c>
      <c r="H13" s="70" t="s">
        <v>207</v>
      </c>
      <c r="M13" s="75" t="s">
        <v>194</v>
      </c>
      <c r="N13" s="76" t="s">
        <v>176</v>
      </c>
    </row>
    <row r="14" spans="1:15" x14ac:dyDescent="0.2">
      <c r="A14" s="70" t="str">
        <f>A2</f>
        <v>LINKS</v>
      </c>
      <c r="B14" s="14" cm="1">
        <f t="array" ref="B14">IF(ISNUMBER(B2),B26B2,_xlfn.XLOOKUP(B$13,$L$2:$L$8,$N$2:$N$8)*_xlfn.XLOOKUP(B2,$O$15:$O$20,$N$15:$N$20))</f>
        <v>8</v>
      </c>
      <c r="C14" s="14" t="e">
        <f t="shared" ref="C14:H14" si="2">IF(ISNUMBER(C2),C2,_xlfn.XLOOKUP(C$13,$L$2:$L$8,$N$2:$N$8)*_xlfn.XLOOKUP(C2,$O$15:$O$20,$N$15:$N$20))</f>
        <v>#N/A</v>
      </c>
      <c r="D14" s="14">
        <f t="shared" si="2"/>
        <v>20</v>
      </c>
      <c r="E14" s="14">
        <f t="shared" si="2"/>
        <v>24</v>
      </c>
      <c r="F14" s="14">
        <f t="shared" si="2"/>
        <v>7</v>
      </c>
      <c r="G14" s="14" t="e">
        <f t="shared" si="2"/>
        <v>#N/A</v>
      </c>
      <c r="H14" s="14" t="e">
        <f t="shared" si="2"/>
        <v>#N/A</v>
      </c>
      <c r="I14" s="115"/>
      <c r="J14" s="115"/>
      <c r="M14" s="11" t="s">
        <v>15</v>
      </c>
      <c r="N14" s="12"/>
      <c r="O14" s="12"/>
    </row>
    <row r="15" spans="1:15" x14ac:dyDescent="0.2">
      <c r="A15" s="70" t="str">
        <f t="shared" ref="A15:A23" si="3">A3</f>
        <v>ALTRO 1</v>
      </c>
      <c r="B15" s="15">
        <f t="shared" ref="B15:H15" si="4">IF(ISNUMBER(B3),B3,_xlfn.XLOOKUP(B$13,$L$2:$L$8,$N$2:$N$8)*_xlfn.XLOOKUP(B3,$O$15:$O$20,$N$15:$N$20))</f>
        <v>8</v>
      </c>
      <c r="C15" s="15" t="e">
        <f t="shared" si="4"/>
        <v>#N/A</v>
      </c>
      <c r="D15" s="15">
        <f t="shared" si="4"/>
        <v>20</v>
      </c>
      <c r="E15" s="15">
        <f t="shared" si="4"/>
        <v>14.399999999999999</v>
      </c>
      <c r="F15" s="15">
        <f t="shared" si="4"/>
        <v>5</v>
      </c>
      <c r="G15" s="15" t="e">
        <f t="shared" si="4"/>
        <v>#N/A</v>
      </c>
      <c r="H15" s="15" t="e">
        <f t="shared" si="4"/>
        <v>#N/A</v>
      </c>
      <c r="I15" s="115"/>
      <c r="J15" s="115"/>
      <c r="M15" s="5" t="s">
        <v>208</v>
      </c>
      <c r="N15" s="13">
        <v>1</v>
      </c>
      <c r="O15" s="14" t="s">
        <v>209</v>
      </c>
    </row>
    <row r="16" spans="1:15" x14ac:dyDescent="0.2">
      <c r="A16" s="70" t="str">
        <f t="shared" si="3"/>
        <v>ALTRO 2</v>
      </c>
      <c r="B16" s="15">
        <f t="shared" ref="B16:H16" si="5">IF(ISNUMBER(B4),B4,_xlfn.XLOOKUP(B$13,$L$2:$L$8,$N$2:$N$8)*_xlfn.XLOOKUP(B4,$O$15:$O$20,$N$15:$N$20))</f>
        <v>6</v>
      </c>
      <c r="C16" s="15" t="e">
        <f t="shared" si="5"/>
        <v>#N/A</v>
      </c>
      <c r="D16" s="15">
        <f t="shared" si="5"/>
        <v>20</v>
      </c>
      <c r="E16" s="15">
        <f t="shared" si="5"/>
        <v>14.399999999999999</v>
      </c>
      <c r="F16" s="15">
        <f t="shared" si="5"/>
        <v>7</v>
      </c>
      <c r="G16" s="15" t="e">
        <f t="shared" si="5"/>
        <v>#N/A</v>
      </c>
      <c r="H16" s="15" t="e">
        <f t="shared" si="5"/>
        <v>#N/A</v>
      </c>
      <c r="M16" s="5" t="s">
        <v>315</v>
      </c>
      <c r="N16" s="13">
        <v>0.8</v>
      </c>
      <c r="O16" s="14" t="s">
        <v>303</v>
      </c>
    </row>
    <row r="17" spans="1:15" x14ac:dyDescent="0.2">
      <c r="A17" s="70" t="str">
        <f t="shared" si="3"/>
        <v>ALTRO 3</v>
      </c>
      <c r="B17" s="15">
        <f t="shared" ref="B17:H17" si="6">IF(ISNUMBER(B5),B5,_xlfn.XLOOKUP(B$13,$L$2:$L$8,$N$2:$N$8)*_xlfn.XLOOKUP(B5,$O$15:$O$20,$N$15:$N$20))</f>
        <v>4</v>
      </c>
      <c r="C17" s="15" t="e">
        <f t="shared" si="6"/>
        <v>#N/A</v>
      </c>
      <c r="D17" s="15">
        <f t="shared" si="6"/>
        <v>20</v>
      </c>
      <c r="E17" s="15">
        <f t="shared" si="6"/>
        <v>24</v>
      </c>
      <c r="F17" s="15">
        <f t="shared" si="6"/>
        <v>5</v>
      </c>
      <c r="G17" s="15" t="e">
        <f t="shared" si="6"/>
        <v>#N/A</v>
      </c>
      <c r="H17" s="15" t="e">
        <f t="shared" si="6"/>
        <v>#N/A</v>
      </c>
      <c r="M17" s="5" t="s">
        <v>316</v>
      </c>
      <c r="N17" s="13">
        <v>0.6</v>
      </c>
      <c r="O17" s="14" t="s">
        <v>13</v>
      </c>
    </row>
    <row r="18" spans="1:15" x14ac:dyDescent="0.2">
      <c r="A18" s="70" t="str">
        <f t="shared" si="3"/>
        <v>ALTRO 4</v>
      </c>
      <c r="B18" s="15">
        <f t="shared" ref="B18:H18" si="7">IF(ISNUMBER(B6),B6,_xlfn.XLOOKUP(B$13,$L$2:$L$8,$N$2:$N$8)*_xlfn.XLOOKUP(B6,$O$15:$O$20,$N$15:$N$20))</f>
        <v>6</v>
      </c>
      <c r="C18" s="15" t="e">
        <f t="shared" si="7"/>
        <v>#N/A</v>
      </c>
      <c r="D18" s="15">
        <f t="shared" si="7"/>
        <v>20</v>
      </c>
      <c r="E18" s="15">
        <f t="shared" si="7"/>
        <v>24</v>
      </c>
      <c r="F18" s="15">
        <f t="shared" si="7"/>
        <v>5</v>
      </c>
      <c r="G18" s="15" t="e">
        <f t="shared" si="7"/>
        <v>#N/A</v>
      </c>
      <c r="H18" s="15" t="e">
        <f t="shared" si="7"/>
        <v>#N/A</v>
      </c>
      <c r="M18" s="5" t="s">
        <v>317</v>
      </c>
      <c r="N18" s="13">
        <v>0.4</v>
      </c>
      <c r="O18" s="14" t="s">
        <v>210</v>
      </c>
    </row>
    <row r="19" spans="1:15" x14ac:dyDescent="0.2">
      <c r="A19" s="70" t="str">
        <f t="shared" si="3"/>
        <v>ALTRO 5</v>
      </c>
      <c r="B19" s="15">
        <f t="shared" ref="B19:H19" si="8">IF(ISNUMBER(B7),B7,_xlfn.XLOOKUP(B$13,$L$2:$L$8,$N$2:$N$8)*_xlfn.XLOOKUP(B7,$O$15:$O$20,$N$15:$N$20))</f>
        <v>6</v>
      </c>
      <c r="C19" s="15" t="e">
        <f t="shared" si="8"/>
        <v>#N/A</v>
      </c>
      <c r="D19" s="15">
        <f t="shared" si="8"/>
        <v>20</v>
      </c>
      <c r="E19" s="15">
        <f t="shared" si="8"/>
        <v>24</v>
      </c>
      <c r="F19" s="15">
        <f t="shared" si="8"/>
        <v>5</v>
      </c>
      <c r="G19" s="15" t="e">
        <f t="shared" si="8"/>
        <v>#N/A</v>
      </c>
      <c r="H19" s="15" t="e">
        <f t="shared" si="8"/>
        <v>#N/A</v>
      </c>
      <c r="M19" s="5" t="s">
        <v>318</v>
      </c>
      <c r="N19" s="13">
        <v>0.2</v>
      </c>
      <c r="O19" s="14" t="s">
        <v>319</v>
      </c>
    </row>
    <row r="20" spans="1:15" x14ac:dyDescent="0.2">
      <c r="A20" s="70" t="str">
        <f t="shared" si="3"/>
        <v>ALTRO 6</v>
      </c>
      <c r="B20" s="15">
        <f t="shared" ref="B20:H20" si="9">IF(ISNUMBER(B8),B8,_xlfn.XLOOKUP(B$13,$L$2:$L$8,$N$2:$N$8)*_xlfn.XLOOKUP(B8,$O$15:$O$20,$N$15:$N$20))</f>
        <v>10</v>
      </c>
      <c r="C20" s="15" t="e">
        <f t="shared" si="9"/>
        <v>#N/A</v>
      </c>
      <c r="D20" s="15">
        <f t="shared" si="9"/>
        <v>20</v>
      </c>
      <c r="E20" s="15">
        <f t="shared" si="9"/>
        <v>9.6000000000000014</v>
      </c>
      <c r="F20" s="15">
        <f t="shared" si="9"/>
        <v>5</v>
      </c>
      <c r="G20" s="15" t="e">
        <f t="shared" si="9"/>
        <v>#N/A</v>
      </c>
      <c r="H20" s="15" t="e">
        <f t="shared" si="9"/>
        <v>#N/A</v>
      </c>
      <c r="M20" s="5" t="s">
        <v>320</v>
      </c>
      <c r="N20" s="13">
        <v>0</v>
      </c>
      <c r="O20" s="14" t="s">
        <v>211</v>
      </c>
    </row>
    <row r="21" spans="1:15" x14ac:dyDescent="0.2">
      <c r="A21" s="70" t="str">
        <f t="shared" si="3"/>
        <v>ALTRO 7</v>
      </c>
      <c r="B21" s="15">
        <f t="shared" ref="B21:H21" si="10">IF(ISNUMBER(B9),B9,_xlfn.XLOOKUP(B$13,$L$2:$L$8,$N$2:$N$8)*_xlfn.XLOOKUP(B9,$O$15:$O$20,$N$15:$N$20))</f>
        <v>6</v>
      </c>
      <c r="C21" s="15" t="e">
        <f t="shared" si="10"/>
        <v>#N/A</v>
      </c>
      <c r="D21" s="15">
        <f t="shared" si="10"/>
        <v>20</v>
      </c>
      <c r="E21" s="15">
        <f t="shared" si="10"/>
        <v>24</v>
      </c>
      <c r="F21" s="15">
        <f t="shared" si="10"/>
        <v>5</v>
      </c>
      <c r="G21" s="15" t="e">
        <f t="shared" si="10"/>
        <v>#N/A</v>
      </c>
      <c r="H21" s="15" t="e">
        <f t="shared" si="10"/>
        <v>#N/A</v>
      </c>
    </row>
    <row r="22" spans="1:15" x14ac:dyDescent="0.2">
      <c r="A22" s="70" t="str">
        <f t="shared" si="3"/>
        <v>ALTRO 8</v>
      </c>
      <c r="B22" s="15">
        <f t="shared" ref="B22:H22" si="11">IF(ISNUMBER(B10),B10,_xlfn.XLOOKUP(B$13,$L$2:$L$8,$N$2:$N$8)*_xlfn.XLOOKUP(B10,$O$15:$O$20,$N$15:$N$20))</f>
        <v>10</v>
      </c>
      <c r="C22" s="15" t="e">
        <f t="shared" si="11"/>
        <v>#N/A</v>
      </c>
      <c r="D22" s="15">
        <f>IF(ISNUMBER(D10),D10,_xlfn.XLOOKUP(D$13,$L$2:$L$8,$N$2:$N$8)*_xlfn.XLOOKUP(D10,$O$15:$O$20,$N$15:$N$20))</f>
        <v>20</v>
      </c>
      <c r="E22" s="15">
        <f t="shared" si="11"/>
        <v>24</v>
      </c>
      <c r="F22" s="15">
        <f t="shared" si="11"/>
        <v>5</v>
      </c>
      <c r="G22" s="15" t="e">
        <f t="shared" si="11"/>
        <v>#N/A</v>
      </c>
      <c r="H22" s="15" t="e">
        <f t="shared" si="11"/>
        <v>#N/A</v>
      </c>
    </row>
    <row r="23" spans="1:15" x14ac:dyDescent="0.2">
      <c r="A23" s="70" t="str">
        <f t="shared" si="3"/>
        <v>ALTRO 9</v>
      </c>
      <c r="B23" s="15">
        <f t="shared" ref="B23:H23" si="12">IF(ISNUMBER(B11),B11,_xlfn.XLOOKUP(B$13,$L$2:$L$8,$N$2:$N$8)*_xlfn.XLOOKUP(B11,$O$15:$O$20,$N$15:$N$20))</f>
        <v>6</v>
      </c>
      <c r="C23" s="15" t="e">
        <f t="shared" si="12"/>
        <v>#N/A</v>
      </c>
      <c r="D23" s="15">
        <f t="shared" si="12"/>
        <v>10</v>
      </c>
      <c r="E23" s="15">
        <f t="shared" si="12"/>
        <v>9.6000000000000014</v>
      </c>
      <c r="F23" s="15">
        <f t="shared" si="12"/>
        <v>7</v>
      </c>
      <c r="G23" s="15" t="e">
        <f t="shared" si="12"/>
        <v>#N/A</v>
      </c>
      <c r="H23" s="15" t="e">
        <f t="shared" si="12"/>
        <v>#N/A</v>
      </c>
    </row>
    <row r="25" spans="1:15" x14ac:dyDescent="0.2">
      <c r="A25" s="1"/>
      <c r="B25" s="70" t="s">
        <v>201</v>
      </c>
      <c r="C25" s="70" t="s">
        <v>202</v>
      </c>
      <c r="D25" s="70" t="s">
        <v>203</v>
      </c>
      <c r="E25" s="70" t="s">
        <v>204</v>
      </c>
      <c r="F25" s="70" t="s">
        <v>205</v>
      </c>
      <c r="G25" s="70" t="s">
        <v>206</v>
      </c>
      <c r="H25" s="70" t="s">
        <v>207</v>
      </c>
    </row>
    <row r="26" spans="1:15" x14ac:dyDescent="0.2">
      <c r="A26" s="70" t="str">
        <f>A14</f>
        <v>LINKS</v>
      </c>
      <c r="B26" s="14">
        <f>B14/MAX($B$14:$B$23)*$N$2</f>
        <v>8</v>
      </c>
      <c r="C26" s="14" t="e">
        <f>C14/MAX($C$14:$C$23)*$N$3</f>
        <v>#N/A</v>
      </c>
      <c r="D26" s="14">
        <f>D14/MAX($D$14:$D$23)*$N$4</f>
        <v>5</v>
      </c>
      <c r="E26" s="14">
        <f>E14/MAX($E$14:$E$23)*$N$5</f>
        <v>25</v>
      </c>
      <c r="F26" s="14">
        <f>F14/MAX($F$14:$F$23)*$N$6</f>
        <v>24</v>
      </c>
      <c r="G26" s="14" t="e">
        <f>G14/MAX($G$14:$G$23)*$N$7</f>
        <v>#N/A</v>
      </c>
      <c r="H26" s="14" t="e">
        <f>H14/MAX($H$14:$H$23)*$N$8</f>
        <v>#N/A</v>
      </c>
    </row>
    <row r="27" spans="1:15" x14ac:dyDescent="0.2">
      <c r="A27" s="70" t="str">
        <f t="shared" ref="A27:A35" si="13">A15</f>
        <v>ALTRO 1</v>
      </c>
      <c r="B27" s="15">
        <f>B15/MAX($B$14:$B$23)*$N$2</f>
        <v>8</v>
      </c>
      <c r="C27" s="15" t="e">
        <f t="shared" ref="C27:C35" si="14">C15/MAX($C$14:$C$23)*$N$3</f>
        <v>#N/A</v>
      </c>
      <c r="D27" s="15">
        <f t="shared" ref="D27:D35" si="15">D15/MAX($D$14:$D$23)*$N$4</f>
        <v>5</v>
      </c>
      <c r="E27" s="15">
        <f t="shared" ref="E27:E35" si="16">E15/MAX($E$14:$E$23)*$N$5</f>
        <v>15</v>
      </c>
      <c r="F27" s="15">
        <f t="shared" ref="F27:F35" si="17">F15/MAX($F$14:$F$23)*$N$6</f>
        <v>17.142857142857142</v>
      </c>
      <c r="G27" s="15" t="e">
        <f t="shared" ref="G27:G35" si="18">G15/MAX($G$14:$G$23)*$N$7</f>
        <v>#N/A</v>
      </c>
      <c r="H27" s="15" t="e">
        <f t="shared" ref="H27:H35" si="19">H15/MAX($H$14:$H$23)*$N$8</f>
        <v>#N/A</v>
      </c>
    </row>
    <row r="28" spans="1:15" x14ac:dyDescent="0.2">
      <c r="A28" s="70" t="str">
        <f t="shared" si="13"/>
        <v>ALTRO 2</v>
      </c>
      <c r="B28" s="15">
        <f t="shared" ref="B28:B35" si="20">B16/MAX($B$14:$B$23)*$N$2</f>
        <v>6</v>
      </c>
      <c r="C28" s="15" t="e">
        <f t="shared" si="14"/>
        <v>#N/A</v>
      </c>
      <c r="D28" s="15">
        <f t="shared" si="15"/>
        <v>5</v>
      </c>
      <c r="E28" s="15">
        <f t="shared" si="16"/>
        <v>15</v>
      </c>
      <c r="F28" s="15">
        <f t="shared" si="17"/>
        <v>24</v>
      </c>
      <c r="G28" s="15" t="e">
        <f t="shared" si="18"/>
        <v>#N/A</v>
      </c>
      <c r="H28" s="15" t="e">
        <f t="shared" si="19"/>
        <v>#N/A</v>
      </c>
    </row>
    <row r="29" spans="1:15" x14ac:dyDescent="0.2">
      <c r="A29" s="70" t="str">
        <f t="shared" si="13"/>
        <v>ALTRO 3</v>
      </c>
      <c r="B29" s="15">
        <f t="shared" si="20"/>
        <v>4</v>
      </c>
      <c r="C29" s="15" t="e">
        <f t="shared" si="14"/>
        <v>#N/A</v>
      </c>
      <c r="D29" s="15">
        <f t="shared" si="15"/>
        <v>5</v>
      </c>
      <c r="E29" s="15">
        <f t="shared" si="16"/>
        <v>25</v>
      </c>
      <c r="F29" s="15">
        <f t="shared" si="17"/>
        <v>17.142857142857142</v>
      </c>
      <c r="G29" s="15" t="e">
        <f t="shared" si="18"/>
        <v>#N/A</v>
      </c>
      <c r="H29" s="15" t="e">
        <f t="shared" si="19"/>
        <v>#N/A</v>
      </c>
    </row>
    <row r="30" spans="1:15" x14ac:dyDescent="0.2">
      <c r="A30" s="70" t="str">
        <f t="shared" si="13"/>
        <v>ALTRO 4</v>
      </c>
      <c r="B30" s="15">
        <f t="shared" si="20"/>
        <v>6</v>
      </c>
      <c r="C30" s="15" t="e">
        <f t="shared" si="14"/>
        <v>#N/A</v>
      </c>
      <c r="D30" s="15">
        <f t="shared" si="15"/>
        <v>5</v>
      </c>
      <c r="E30" s="15">
        <f t="shared" si="16"/>
        <v>25</v>
      </c>
      <c r="F30" s="15">
        <f t="shared" si="17"/>
        <v>17.142857142857142</v>
      </c>
      <c r="G30" s="15" t="e">
        <f t="shared" si="18"/>
        <v>#N/A</v>
      </c>
      <c r="H30" s="15" t="e">
        <f t="shared" si="19"/>
        <v>#N/A</v>
      </c>
    </row>
    <row r="31" spans="1:15" x14ac:dyDescent="0.2">
      <c r="A31" s="70" t="str">
        <f t="shared" si="13"/>
        <v>ALTRO 5</v>
      </c>
      <c r="B31" s="15">
        <f t="shared" si="20"/>
        <v>6</v>
      </c>
      <c r="C31" s="15" t="e">
        <f t="shared" si="14"/>
        <v>#N/A</v>
      </c>
      <c r="D31" s="15">
        <f t="shared" si="15"/>
        <v>5</v>
      </c>
      <c r="E31" s="15">
        <f t="shared" si="16"/>
        <v>25</v>
      </c>
      <c r="F31" s="15">
        <f t="shared" si="17"/>
        <v>17.142857142857142</v>
      </c>
      <c r="G31" s="15" t="e">
        <f t="shared" si="18"/>
        <v>#N/A</v>
      </c>
      <c r="H31" s="15" t="e">
        <f t="shared" si="19"/>
        <v>#N/A</v>
      </c>
    </row>
    <row r="32" spans="1:15" x14ac:dyDescent="0.2">
      <c r="A32" s="70" t="str">
        <f t="shared" si="13"/>
        <v>ALTRO 6</v>
      </c>
      <c r="B32" s="15">
        <f t="shared" si="20"/>
        <v>10</v>
      </c>
      <c r="C32" s="15" t="e">
        <f t="shared" si="14"/>
        <v>#N/A</v>
      </c>
      <c r="D32" s="15">
        <f t="shared" si="15"/>
        <v>5</v>
      </c>
      <c r="E32" s="15">
        <f t="shared" si="16"/>
        <v>10.000000000000002</v>
      </c>
      <c r="F32" s="15">
        <f t="shared" si="17"/>
        <v>17.142857142857142</v>
      </c>
      <c r="G32" s="15" t="e">
        <f t="shared" si="18"/>
        <v>#N/A</v>
      </c>
      <c r="H32" s="15" t="e">
        <f t="shared" si="19"/>
        <v>#N/A</v>
      </c>
    </row>
    <row r="33" spans="1:8" x14ac:dyDescent="0.2">
      <c r="A33" s="70" t="str">
        <f t="shared" si="13"/>
        <v>ALTRO 7</v>
      </c>
      <c r="B33" s="15">
        <f t="shared" si="20"/>
        <v>6</v>
      </c>
      <c r="C33" s="15" t="e">
        <f t="shared" si="14"/>
        <v>#N/A</v>
      </c>
      <c r="D33" s="15">
        <f t="shared" si="15"/>
        <v>5</v>
      </c>
      <c r="E33" s="15">
        <f t="shared" si="16"/>
        <v>25</v>
      </c>
      <c r="F33" s="15">
        <f t="shared" si="17"/>
        <v>17.142857142857142</v>
      </c>
      <c r="G33" s="15" t="e">
        <f t="shared" si="18"/>
        <v>#N/A</v>
      </c>
      <c r="H33" s="15" t="e">
        <f t="shared" si="19"/>
        <v>#N/A</v>
      </c>
    </row>
    <row r="34" spans="1:8" x14ac:dyDescent="0.2">
      <c r="A34" s="70" t="str">
        <f t="shared" si="13"/>
        <v>ALTRO 8</v>
      </c>
      <c r="B34" s="15">
        <f t="shared" si="20"/>
        <v>10</v>
      </c>
      <c r="C34" s="15" t="e">
        <f t="shared" si="14"/>
        <v>#N/A</v>
      </c>
      <c r="D34" s="15">
        <f t="shared" si="15"/>
        <v>5</v>
      </c>
      <c r="E34" s="15">
        <f t="shared" si="16"/>
        <v>25</v>
      </c>
      <c r="F34" s="15">
        <f t="shared" si="17"/>
        <v>17.142857142857142</v>
      </c>
      <c r="G34" s="15" t="e">
        <f t="shared" si="18"/>
        <v>#N/A</v>
      </c>
      <c r="H34" s="15" t="e">
        <f t="shared" si="19"/>
        <v>#N/A</v>
      </c>
    </row>
    <row r="35" spans="1:8" x14ac:dyDescent="0.2">
      <c r="A35" s="70" t="str">
        <f t="shared" si="13"/>
        <v>ALTRO 9</v>
      </c>
      <c r="B35" s="15">
        <f t="shared" si="20"/>
        <v>6</v>
      </c>
      <c r="C35" s="15" t="e">
        <f t="shared" si="14"/>
        <v>#N/A</v>
      </c>
      <c r="D35" s="15">
        <f t="shared" si="15"/>
        <v>2.5</v>
      </c>
      <c r="E35" s="15">
        <f t="shared" si="16"/>
        <v>10.000000000000002</v>
      </c>
      <c r="F35" s="15">
        <f t="shared" si="17"/>
        <v>24</v>
      </c>
      <c r="G35" s="15" t="e">
        <f t="shared" si="18"/>
        <v>#N/A</v>
      </c>
      <c r="H35" s="15" t="e">
        <f t="shared" si="19"/>
        <v>#N/A</v>
      </c>
    </row>
  </sheetData>
  <phoneticPr fontId="2" type="noConversion"/>
  <conditionalFormatting sqref="O2:O8">
    <cfRule type="containsText" dxfId="2" priority="1" operator="containsText" text="T">
      <formula>NOT(ISERROR(SEARCH("T",O2)))</formula>
    </cfRule>
    <cfRule type="containsText" dxfId="1" priority="2" operator="containsText" text="D">
      <formula>NOT(ISERROR(SEARCH("D",O2)))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E22"/>
  <sheetViews>
    <sheetView topLeftCell="A7" zoomScaleNormal="100" workbookViewId="0">
      <selection activeCell="B16" sqref="B16"/>
    </sheetView>
  </sheetViews>
  <sheetFormatPr baseColWidth="10" defaultColWidth="8.83203125" defaultRowHeight="14" x14ac:dyDescent="0.2"/>
  <cols>
    <col min="1" max="1" width="22.5" style="4" bestFit="1" customWidth="1"/>
    <col min="2" max="2" width="14.1640625" style="4" customWidth="1"/>
    <col min="3" max="3" width="14.6640625" style="4" bestFit="1" customWidth="1"/>
    <col min="4" max="5" width="11.1640625" style="4" bestFit="1" customWidth="1"/>
    <col min="6" max="16384" width="8.83203125" style="4"/>
  </cols>
  <sheetData>
    <row r="1" spans="1:5" x14ac:dyDescent="0.2">
      <c r="A1" s="1"/>
      <c r="B1" s="2" t="s">
        <v>16</v>
      </c>
      <c r="C1" s="2" t="s">
        <v>17</v>
      </c>
      <c r="D1" s="2" t="s">
        <v>10</v>
      </c>
      <c r="E1" s="2" t="s">
        <v>200</v>
      </c>
    </row>
    <row r="2" spans="1:5" x14ac:dyDescent="0.2">
      <c r="A2" s="70" t="str">
        <f>'PUNTEGGIO TECNICO'!A2</f>
        <v>LINKS</v>
      </c>
      <c r="B2" s="5">
        <f>(B13-C2)/B13</f>
        <v>0.90589758342922899</v>
      </c>
      <c r="C2" s="6">
        <f>ECONOMICA!E10</f>
        <v>65420</v>
      </c>
      <c r="D2" s="133">
        <f t="shared" ref="D2:D11" si="0">IFERROR($B$17*(MAX(0,B2)/MAX($B$2:$B$11))^$B$16,0)</f>
        <v>20</v>
      </c>
      <c r="E2" s="133">
        <f>MAX(D2:D11)-D2</f>
        <v>0</v>
      </c>
    </row>
    <row r="3" spans="1:5" x14ac:dyDescent="0.2">
      <c r="A3" s="70" t="str">
        <f>'PUNTEGGIO TECNICO'!A3</f>
        <v>ALTRO 1</v>
      </c>
      <c r="B3" s="8">
        <f>B14</f>
        <v>0.12</v>
      </c>
      <c r="C3" s="9">
        <f t="shared" ref="C3:C11" si="1">$B$13*(1-B3)</f>
        <v>611776</v>
      </c>
      <c r="D3" s="134">
        <f t="shared" si="0"/>
        <v>10.905878101707884</v>
      </c>
      <c r="E3" s="134">
        <f t="shared" ref="E3:E11" si="2">MAX(D3:D12)-D3</f>
        <v>4.3464260104866206</v>
      </c>
    </row>
    <row r="4" spans="1:5" x14ac:dyDescent="0.2">
      <c r="A4" s="70" t="str">
        <f>'PUNTEGGIO TECNICO'!A4</f>
        <v>ALTRO 2</v>
      </c>
      <c r="B4" s="8">
        <f>B3*$B$15</f>
        <v>0.13799999999999998</v>
      </c>
      <c r="C4" s="9">
        <f t="shared" si="1"/>
        <v>599262.4</v>
      </c>
      <c r="D4" s="134">
        <f t="shared" si="0"/>
        <v>11.372867809826534</v>
      </c>
      <c r="E4" s="134">
        <f t="shared" si="2"/>
        <v>3.8794363023679708</v>
      </c>
    </row>
    <row r="5" spans="1:5" x14ac:dyDescent="0.2">
      <c r="A5" s="70" t="str">
        <f>'PUNTEGGIO TECNICO'!A5</f>
        <v>ALTRO 3</v>
      </c>
      <c r="B5" s="8">
        <f t="shared" ref="B5:B11" si="3">B4*$B$15</f>
        <v>0.15869999999999998</v>
      </c>
      <c r="C5" s="9">
        <f t="shared" si="1"/>
        <v>584871.76</v>
      </c>
      <c r="D5" s="134">
        <f t="shared" si="0"/>
        <v>11.859854017580968</v>
      </c>
      <c r="E5" s="134">
        <f t="shared" si="2"/>
        <v>3.3924500946135367</v>
      </c>
    </row>
    <row r="6" spans="1:5" x14ac:dyDescent="0.2">
      <c r="A6" s="70" t="str">
        <f>'PUNTEGGIO TECNICO'!A6</f>
        <v>ALTRO 4</v>
      </c>
      <c r="B6" s="8">
        <f t="shared" si="3"/>
        <v>0.18250499999999997</v>
      </c>
      <c r="C6" s="9">
        <f t="shared" si="1"/>
        <v>568322.52400000009</v>
      </c>
      <c r="D6" s="134">
        <f t="shared" si="0"/>
        <v>12.367692975099905</v>
      </c>
      <c r="E6" s="134">
        <f t="shared" si="2"/>
        <v>2.8846111370946002</v>
      </c>
    </row>
    <row r="7" spans="1:5" x14ac:dyDescent="0.2">
      <c r="A7" s="70" t="str">
        <f>'PUNTEGGIO TECNICO'!A7</f>
        <v>ALTRO 5</v>
      </c>
      <c r="B7" s="8">
        <f t="shared" si="3"/>
        <v>0.20988074999999995</v>
      </c>
      <c r="C7" s="9">
        <f t="shared" si="1"/>
        <v>549290.90260000003</v>
      </c>
      <c r="D7" s="134">
        <f t="shared" si="0"/>
        <v>12.897277597143175</v>
      </c>
      <c r="E7" s="134">
        <f t="shared" si="2"/>
        <v>2.3550265150513301</v>
      </c>
    </row>
    <row r="8" spans="1:5" x14ac:dyDescent="0.2">
      <c r="A8" s="70" t="str">
        <f>'PUNTEGGIO TECNICO'!A8</f>
        <v>ALTRO 6</v>
      </c>
      <c r="B8" s="8">
        <f t="shared" si="3"/>
        <v>0.24136286249999991</v>
      </c>
      <c r="C8" s="9">
        <f t="shared" si="1"/>
        <v>527404.53798999998</v>
      </c>
      <c r="D8" s="134">
        <f t="shared" si="0"/>
        <v>13.449539033081273</v>
      </c>
      <c r="E8" s="134">
        <f t="shared" si="2"/>
        <v>1.8027650791132324</v>
      </c>
    </row>
    <row r="9" spans="1:5" x14ac:dyDescent="0.2">
      <c r="A9" s="70" t="str">
        <f>'PUNTEGGIO TECNICO'!A9</f>
        <v>ALTRO 7</v>
      </c>
      <c r="B9" s="8">
        <f t="shared" si="3"/>
        <v>0.2775672918749999</v>
      </c>
      <c r="C9" s="9">
        <f t="shared" si="1"/>
        <v>502235.21868850011</v>
      </c>
      <c r="D9" s="134">
        <f t="shared" si="0"/>
        <v>14.025448304101403</v>
      </c>
      <c r="E9" s="134">
        <f t="shared" si="2"/>
        <v>1.2268558080931022</v>
      </c>
    </row>
    <row r="10" spans="1:5" x14ac:dyDescent="0.2">
      <c r="A10" s="70" t="str">
        <f>'PUNTEGGIO TECNICO'!A10</f>
        <v>ALTRO 8</v>
      </c>
      <c r="B10" s="8">
        <f t="shared" si="3"/>
        <v>0.31920238565624987</v>
      </c>
      <c r="C10" s="9">
        <f t="shared" si="1"/>
        <v>473290.50149177515</v>
      </c>
      <c r="D10" s="134">
        <f t="shared" si="0"/>
        <v>14.626018010518697</v>
      </c>
      <c r="E10" s="134">
        <f t="shared" si="2"/>
        <v>0.62628610167580767</v>
      </c>
    </row>
    <row r="11" spans="1:5" x14ac:dyDescent="0.2">
      <c r="A11" s="70" t="str">
        <f>'PUNTEGGIO TECNICO'!A11</f>
        <v>ALTRO 9</v>
      </c>
      <c r="B11" s="8">
        <f t="shared" si="3"/>
        <v>0.36708274350468734</v>
      </c>
      <c r="C11" s="9">
        <f t="shared" si="1"/>
        <v>440004.07671554142</v>
      </c>
      <c r="D11" s="134">
        <f t="shared" si="0"/>
        <v>15.252304112194505</v>
      </c>
      <c r="E11" s="134">
        <f t="shared" si="2"/>
        <v>0</v>
      </c>
    </row>
    <row r="13" spans="1:5" x14ac:dyDescent="0.2">
      <c r="A13" s="2" t="s">
        <v>4</v>
      </c>
      <c r="B13" s="136">
        <f>GARA!B5</f>
        <v>695200</v>
      </c>
      <c r="D13" s="25"/>
      <c r="E13" s="25"/>
    </row>
    <row r="14" spans="1:5" x14ac:dyDescent="0.2">
      <c r="A14" s="2" t="s">
        <v>18</v>
      </c>
      <c r="B14" s="137">
        <v>0.12</v>
      </c>
    </row>
    <row r="15" spans="1:5" x14ac:dyDescent="0.2">
      <c r="A15" s="2" t="s">
        <v>19</v>
      </c>
      <c r="B15" s="138">
        <v>1.1499999999999999</v>
      </c>
    </row>
    <row r="16" spans="1:5" x14ac:dyDescent="0.2">
      <c r="A16" s="2" t="s">
        <v>20</v>
      </c>
      <c r="B16" s="138">
        <v>0.3</v>
      </c>
    </row>
    <row r="17" spans="1:2" x14ac:dyDescent="0.2">
      <c r="A17" s="2" t="s">
        <v>21</v>
      </c>
      <c r="B17" s="138">
        <v>20</v>
      </c>
    </row>
    <row r="18" spans="1:2" x14ac:dyDescent="0.2">
      <c r="A18" s="2" t="s">
        <v>216</v>
      </c>
      <c r="B18" s="142">
        <f>MIN(C2:C11)</f>
        <v>65420</v>
      </c>
    </row>
    <row r="19" spans="1:2" x14ac:dyDescent="0.2">
      <c r="A19" s="2" t="s">
        <v>195</v>
      </c>
      <c r="B19" s="139">
        <f>AVERAGE(B2:B11)</f>
        <v>0.29201986169651661</v>
      </c>
    </row>
    <row r="20" spans="1:2" ht="15" x14ac:dyDescent="0.2">
      <c r="A20" t="s">
        <v>321</v>
      </c>
      <c r="B20" t="s">
        <v>322</v>
      </c>
    </row>
    <row r="21" spans="1:2" ht="15" x14ac:dyDescent="0.2">
      <c r="A21" t="s">
        <v>323</v>
      </c>
      <c r="B21">
        <v>0.85</v>
      </c>
    </row>
    <row r="22" spans="1:2" ht="15" x14ac:dyDescent="0.2">
      <c r="A22" t="s">
        <v>324</v>
      </c>
      <c r="B22" t="s">
        <v>325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750C-1CAF-471B-8F48-05F6D41A90A9}">
  <sheetPr>
    <tabColor theme="5" tint="-0.249977111117893"/>
  </sheetPr>
  <dimension ref="A1:E11"/>
  <sheetViews>
    <sheetView zoomScaleNormal="100" workbookViewId="0">
      <selection activeCell="D8" sqref="D8"/>
    </sheetView>
  </sheetViews>
  <sheetFormatPr baseColWidth="10" defaultColWidth="8.83203125" defaultRowHeight="14" x14ac:dyDescent="0.2"/>
  <cols>
    <col min="1" max="1" width="19.5" style="4" bestFit="1" customWidth="1"/>
    <col min="2" max="2" width="9.1640625" style="4" customWidth="1"/>
    <col min="3" max="3" width="6.1640625" style="4" bestFit="1" customWidth="1"/>
    <col min="4" max="4" width="7.83203125" style="4" bestFit="1" customWidth="1"/>
    <col min="5" max="5" width="11.5" style="4" bestFit="1" customWidth="1"/>
    <col min="6" max="6" width="12.6640625" style="4" bestFit="1" customWidth="1"/>
    <col min="7" max="16384" width="8.83203125" style="4"/>
  </cols>
  <sheetData>
    <row r="1" spans="1:5" x14ac:dyDescent="0.2">
      <c r="A1" s="1"/>
      <c r="B1" s="2" t="s">
        <v>6</v>
      </c>
      <c r="C1" s="2" t="s">
        <v>22</v>
      </c>
      <c r="D1" s="2" t="s">
        <v>23</v>
      </c>
      <c r="E1" s="2" t="s">
        <v>24</v>
      </c>
    </row>
    <row r="2" spans="1:5" x14ac:dyDescent="0.2">
      <c r="A2" s="70" t="str">
        <f>'PUNTEGGIO TECNICO'!A2</f>
        <v>LINKS</v>
      </c>
      <c r="B2" s="14" t="e">
        <f>'PUNTEGGIO TECNICO'!J2</f>
        <v>#N/A</v>
      </c>
      <c r="C2" s="14">
        <f>'PUNTEGGIO ECONOMICO'!D2</f>
        <v>20</v>
      </c>
      <c r="D2" s="7" t="e">
        <f t="shared" ref="D2:D11" si="0">B2+C2</f>
        <v>#N/A</v>
      </c>
      <c r="E2" s="7" t="e">
        <f t="shared" ref="E2:E11" si="1">D2-MAX($D$2:$D$11)</f>
        <v>#N/A</v>
      </c>
    </row>
    <row r="3" spans="1:5" x14ac:dyDescent="0.2">
      <c r="A3" s="70" t="str">
        <f>'PUNTEGGIO TECNICO'!A3</f>
        <v>ALTRO 1</v>
      </c>
      <c r="B3" s="14" t="e">
        <f>'PUNTEGGIO TECNICO'!J3</f>
        <v>#N/A</v>
      </c>
      <c r="C3" s="14">
        <f>'PUNTEGGIO ECONOMICO'!D3</f>
        <v>10.905878101707884</v>
      </c>
      <c r="D3" s="7" t="e">
        <f t="shared" si="0"/>
        <v>#N/A</v>
      </c>
      <c r="E3" s="10" t="e">
        <f t="shared" si="1"/>
        <v>#N/A</v>
      </c>
    </row>
    <row r="4" spans="1:5" x14ac:dyDescent="0.2">
      <c r="A4" s="70" t="str">
        <f>'PUNTEGGIO TECNICO'!A4</f>
        <v>ALTRO 2</v>
      </c>
      <c r="B4" s="14" t="e">
        <f>'PUNTEGGIO TECNICO'!J4</f>
        <v>#N/A</v>
      </c>
      <c r="C4" s="14">
        <f>'PUNTEGGIO ECONOMICO'!D4</f>
        <v>11.372867809826534</v>
      </c>
      <c r="D4" s="7" t="e">
        <f t="shared" si="0"/>
        <v>#N/A</v>
      </c>
      <c r="E4" s="10" t="e">
        <f t="shared" si="1"/>
        <v>#N/A</v>
      </c>
    </row>
    <row r="5" spans="1:5" x14ac:dyDescent="0.2">
      <c r="A5" s="70" t="str">
        <f>'PUNTEGGIO TECNICO'!A5</f>
        <v>ALTRO 3</v>
      </c>
      <c r="B5" s="14" t="e">
        <f>'PUNTEGGIO TECNICO'!J5</f>
        <v>#N/A</v>
      </c>
      <c r="C5" s="14">
        <f>'PUNTEGGIO ECONOMICO'!D5</f>
        <v>11.859854017580968</v>
      </c>
      <c r="D5" s="7" t="e">
        <f t="shared" si="0"/>
        <v>#N/A</v>
      </c>
      <c r="E5" s="10" t="e">
        <f t="shared" si="1"/>
        <v>#N/A</v>
      </c>
    </row>
    <row r="6" spans="1:5" x14ac:dyDescent="0.2">
      <c r="A6" s="70" t="str">
        <f>'PUNTEGGIO TECNICO'!A6</f>
        <v>ALTRO 4</v>
      </c>
      <c r="B6" s="14" t="e">
        <f>'PUNTEGGIO TECNICO'!J6</f>
        <v>#N/A</v>
      </c>
      <c r="C6" s="14">
        <f>'PUNTEGGIO ECONOMICO'!D6</f>
        <v>12.367692975099905</v>
      </c>
      <c r="D6" s="7" t="e">
        <f t="shared" si="0"/>
        <v>#N/A</v>
      </c>
      <c r="E6" s="10" t="e">
        <f t="shared" si="1"/>
        <v>#N/A</v>
      </c>
    </row>
    <row r="7" spans="1:5" x14ac:dyDescent="0.2">
      <c r="A7" s="70" t="str">
        <f>'PUNTEGGIO TECNICO'!A7</f>
        <v>ALTRO 5</v>
      </c>
      <c r="B7" s="14" t="e">
        <f>'PUNTEGGIO TECNICO'!J7</f>
        <v>#N/A</v>
      </c>
      <c r="C7" s="14">
        <f>'PUNTEGGIO ECONOMICO'!D7</f>
        <v>12.897277597143175</v>
      </c>
      <c r="D7" s="7" t="e">
        <f t="shared" si="0"/>
        <v>#N/A</v>
      </c>
      <c r="E7" s="10" t="e">
        <f t="shared" si="1"/>
        <v>#N/A</v>
      </c>
    </row>
    <row r="8" spans="1:5" x14ac:dyDescent="0.2">
      <c r="A8" s="70" t="str">
        <f>'PUNTEGGIO TECNICO'!A8</f>
        <v>ALTRO 6</v>
      </c>
      <c r="B8" s="14" t="e">
        <f>'PUNTEGGIO TECNICO'!J8</f>
        <v>#N/A</v>
      </c>
      <c r="C8" s="14">
        <f>'PUNTEGGIO ECONOMICO'!D8</f>
        <v>13.449539033081273</v>
      </c>
      <c r="D8" s="7" t="e">
        <f t="shared" si="0"/>
        <v>#N/A</v>
      </c>
      <c r="E8" s="10" t="e">
        <f t="shared" si="1"/>
        <v>#N/A</v>
      </c>
    </row>
    <row r="9" spans="1:5" x14ac:dyDescent="0.2">
      <c r="A9" s="70" t="str">
        <f>'PUNTEGGIO TECNICO'!A9</f>
        <v>ALTRO 7</v>
      </c>
      <c r="B9" s="14" t="e">
        <f>'PUNTEGGIO TECNICO'!J9</f>
        <v>#N/A</v>
      </c>
      <c r="C9" s="14">
        <f>'PUNTEGGIO ECONOMICO'!D9</f>
        <v>14.025448304101403</v>
      </c>
      <c r="D9" s="7" t="e">
        <f t="shared" si="0"/>
        <v>#N/A</v>
      </c>
      <c r="E9" s="10" t="e">
        <f t="shared" si="1"/>
        <v>#N/A</v>
      </c>
    </row>
    <row r="10" spans="1:5" x14ac:dyDescent="0.2">
      <c r="A10" s="70" t="str">
        <f>'PUNTEGGIO TECNICO'!A10</f>
        <v>ALTRO 8</v>
      </c>
      <c r="B10" s="14" t="e">
        <f>'PUNTEGGIO TECNICO'!J10</f>
        <v>#N/A</v>
      </c>
      <c r="C10" s="14">
        <f>'PUNTEGGIO ECONOMICO'!D10</f>
        <v>14.626018010518697</v>
      </c>
      <c r="D10" s="7" t="e">
        <f t="shared" si="0"/>
        <v>#N/A</v>
      </c>
      <c r="E10" s="10" t="e">
        <f t="shared" si="1"/>
        <v>#N/A</v>
      </c>
    </row>
    <row r="11" spans="1:5" x14ac:dyDescent="0.2">
      <c r="A11" s="70" t="str">
        <f>'PUNTEGGIO TECNICO'!A11</f>
        <v>ALTRO 9</v>
      </c>
      <c r="B11" s="14" t="e">
        <f>'PUNTEGGIO TECNICO'!J11</f>
        <v>#N/A</v>
      </c>
      <c r="C11" s="14">
        <f>'PUNTEGGIO ECONOMICO'!D11</f>
        <v>15.252304112194505</v>
      </c>
      <c r="D11" s="7" t="e">
        <f t="shared" si="0"/>
        <v>#N/A</v>
      </c>
      <c r="E11" s="10" t="e">
        <f t="shared" si="1"/>
        <v>#N/A</v>
      </c>
    </row>
  </sheetData>
  <conditionalFormatting sqref="D2:D11">
    <cfRule type="top10" dxfId="0" priority="4" percent="1" rank="1"/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{76B60752-982E-4043-B58A-A834D1404635}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B60752-982E-4043-B58A-A834D14046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535D-32ED-4377-BA27-6FFB7F776A20}">
  <sheetPr>
    <tabColor theme="4" tint="-0.249977111117893"/>
  </sheetPr>
  <dimension ref="A1:K68"/>
  <sheetViews>
    <sheetView zoomScale="90" zoomScaleNormal="90" workbookViewId="0">
      <selection activeCell="G64" sqref="G64"/>
    </sheetView>
  </sheetViews>
  <sheetFormatPr baseColWidth="10" defaultColWidth="8.83203125" defaultRowHeight="14" x14ac:dyDescent="0.2"/>
  <cols>
    <col min="1" max="1" width="65.5" style="4" bestFit="1" customWidth="1"/>
    <col min="2" max="2" width="13.1640625" style="4" bestFit="1" customWidth="1"/>
    <col min="3" max="3" width="13.33203125" style="4" bestFit="1" customWidth="1"/>
    <col min="4" max="4" width="9.33203125" style="4" bestFit="1" customWidth="1"/>
    <col min="5" max="5" width="67.83203125" style="4" bestFit="1" customWidth="1"/>
    <col min="6" max="6" width="8.83203125" style="4"/>
    <col min="7" max="7" width="27.33203125" style="4" bestFit="1" customWidth="1"/>
    <col min="8" max="8" width="10.1640625" style="4" bestFit="1" customWidth="1"/>
    <col min="9" max="9" width="10.6640625" style="4" bestFit="1" customWidth="1"/>
    <col min="10" max="10" width="14.1640625" style="4" bestFit="1" customWidth="1"/>
    <col min="11" max="11" width="30" style="4" bestFit="1" customWidth="1"/>
    <col min="12" max="16384" width="8.83203125" style="4"/>
  </cols>
  <sheetData>
    <row r="1" spans="1:11" x14ac:dyDescent="0.2">
      <c r="A1" s="154" t="s">
        <v>25</v>
      </c>
      <c r="B1" s="155"/>
      <c r="C1" s="155"/>
      <c r="D1" s="155"/>
      <c r="E1" s="156"/>
      <c r="H1" s="2" t="s">
        <v>26</v>
      </c>
      <c r="I1" s="2" t="s">
        <v>27</v>
      </c>
      <c r="J1" s="2" t="s">
        <v>28</v>
      </c>
    </row>
    <row r="2" spans="1:11" x14ac:dyDescent="0.2">
      <c r="A2" s="2" t="s">
        <v>29</v>
      </c>
      <c r="B2" s="2" t="s">
        <v>26</v>
      </c>
      <c r="C2" s="2" t="s">
        <v>30</v>
      </c>
      <c r="D2" s="2" t="s">
        <v>31</v>
      </c>
      <c r="E2" s="2" t="s">
        <v>32</v>
      </c>
      <c r="G2" s="2" t="s">
        <v>33</v>
      </c>
      <c r="H2" s="26">
        <f>D54</f>
        <v>554.45000000000005</v>
      </c>
      <c r="I2" s="26">
        <v>220</v>
      </c>
      <c r="J2" s="27">
        <f>C54</f>
        <v>121979</v>
      </c>
    </row>
    <row r="3" spans="1:11" x14ac:dyDescent="0.2">
      <c r="A3" s="28" t="s">
        <v>34</v>
      </c>
      <c r="B3" s="28"/>
      <c r="C3" s="33">
        <f>D3*$I$2</f>
        <v>0</v>
      </c>
      <c r="D3" s="34">
        <v>0</v>
      </c>
      <c r="E3" s="31"/>
      <c r="G3" s="2" t="s">
        <v>35</v>
      </c>
      <c r="H3" s="46"/>
      <c r="I3" s="46"/>
      <c r="J3" s="27">
        <f>C63</f>
        <v>36393</v>
      </c>
    </row>
    <row r="4" spans="1:11" x14ac:dyDescent="0.2">
      <c r="A4" s="28" t="s">
        <v>36</v>
      </c>
      <c r="B4" s="126">
        <v>0.1</v>
      </c>
      <c r="C4" s="33">
        <f>D4*$I$2</f>
        <v>10780</v>
      </c>
      <c r="D4" s="34">
        <f>ROUND(B4*SUM(D6,D5,D50,D51,D52),0)</f>
        <v>49</v>
      </c>
      <c r="E4" s="31"/>
      <c r="G4" s="2" t="s">
        <v>37</v>
      </c>
      <c r="H4" s="46"/>
      <c r="I4" s="46"/>
      <c r="J4" s="48">
        <v>0.35</v>
      </c>
      <c r="K4" s="53" t="s">
        <v>38</v>
      </c>
    </row>
    <row r="5" spans="1:11" ht="15" x14ac:dyDescent="0.2">
      <c r="A5" s="28" t="s">
        <v>217</v>
      </c>
      <c r="B5" s="126"/>
      <c r="C5" s="33">
        <f>D5*$I$2</f>
        <v>3300</v>
      </c>
      <c r="D5" s="34">
        <v>15</v>
      </c>
      <c r="E5" s="31" t="s">
        <v>248</v>
      </c>
      <c r="G5" s="2" t="s">
        <v>39</v>
      </c>
      <c r="H5" s="46"/>
      <c r="I5" s="46"/>
      <c r="J5" s="48">
        <v>0.25</v>
      </c>
      <c r="K5" s="53" t="s">
        <v>38</v>
      </c>
    </row>
    <row r="6" spans="1:11" ht="15" x14ac:dyDescent="0.2">
      <c r="A6" s="28" t="s">
        <v>247</v>
      </c>
      <c r="B6" s="126"/>
      <c r="C6" s="33">
        <f>D6*$I$2</f>
        <v>76780</v>
      </c>
      <c r="D6" s="34">
        <f>SUM(D7:D49)</f>
        <v>349</v>
      </c>
      <c r="E6" s="31" t="s">
        <v>294</v>
      </c>
      <c r="G6" s="2" t="s">
        <v>40</v>
      </c>
      <c r="H6" s="46"/>
      <c r="I6" s="46"/>
      <c r="J6" s="47">
        <f>(1/(1-J4))*J2</f>
        <v>187659.99999999997</v>
      </c>
    </row>
    <row r="7" spans="1:11" x14ac:dyDescent="0.2">
      <c r="A7" s="35" t="s">
        <v>250</v>
      </c>
      <c r="B7" s="32"/>
      <c r="C7" s="29">
        <f>$I$2*D7</f>
        <v>1100</v>
      </c>
      <c r="D7" s="30">
        <v>5</v>
      </c>
      <c r="E7" s="31"/>
      <c r="G7" s="2" t="s">
        <v>41</v>
      </c>
      <c r="H7" s="46"/>
      <c r="I7" s="46"/>
      <c r="J7" s="47">
        <f>(1/(1-J5))*J3</f>
        <v>48524</v>
      </c>
    </row>
    <row r="8" spans="1:11" x14ac:dyDescent="0.2">
      <c r="A8" s="35" t="s">
        <v>251</v>
      </c>
      <c r="B8" s="32"/>
      <c r="C8" s="29">
        <f t="shared" ref="C8:C49" si="0">$I$2*D8</f>
        <v>2200</v>
      </c>
      <c r="D8" s="30">
        <v>10</v>
      </c>
      <c r="E8" s="31"/>
      <c r="G8" s="2" t="s">
        <v>184</v>
      </c>
      <c r="H8" s="46"/>
      <c r="I8" s="46"/>
      <c r="J8" s="24">
        <f>SUM(J6:J7)</f>
        <v>236183.99999999997</v>
      </c>
    </row>
    <row r="9" spans="1:11" x14ac:dyDescent="0.2">
      <c r="A9" s="35" t="s">
        <v>252</v>
      </c>
      <c r="B9" s="32"/>
      <c r="C9" s="29">
        <f t="shared" si="0"/>
        <v>7260</v>
      </c>
      <c r="D9" s="30">
        <v>33</v>
      </c>
      <c r="E9" s="31"/>
      <c r="G9" s="2" t="s">
        <v>185</v>
      </c>
      <c r="H9" s="46"/>
      <c r="I9" s="46"/>
      <c r="J9" s="49">
        <f>J8-(J2+J3)</f>
        <v>77811.999999999971</v>
      </c>
    </row>
    <row r="10" spans="1:11" x14ac:dyDescent="0.2">
      <c r="A10" s="35" t="s">
        <v>253</v>
      </c>
      <c r="B10" s="32"/>
      <c r="C10" s="29">
        <f t="shared" si="0"/>
        <v>6600</v>
      </c>
      <c r="D10" s="30">
        <v>30</v>
      </c>
      <c r="E10" s="31"/>
      <c r="G10" s="2" t="s">
        <v>42</v>
      </c>
      <c r="H10" s="46"/>
      <c r="I10" s="46"/>
      <c r="J10" s="50">
        <f>J9/J8</f>
        <v>0.32945500118551629</v>
      </c>
    </row>
    <row r="11" spans="1:11" x14ac:dyDescent="0.2">
      <c r="A11" s="35" t="s">
        <v>254</v>
      </c>
      <c r="B11" s="32"/>
      <c r="C11" s="29">
        <f t="shared" si="0"/>
        <v>2200</v>
      </c>
      <c r="D11" s="30">
        <v>10</v>
      </c>
      <c r="E11" s="31"/>
      <c r="G11" s="128" t="s">
        <v>199</v>
      </c>
      <c r="H11" s="46"/>
      <c r="I11" s="46"/>
      <c r="J11" s="129">
        <v>1</v>
      </c>
    </row>
    <row r="12" spans="1:11" x14ac:dyDescent="0.2">
      <c r="A12" s="35" t="s">
        <v>255</v>
      </c>
      <c r="B12" s="32"/>
      <c r="C12" s="29">
        <f t="shared" si="0"/>
        <v>1760</v>
      </c>
      <c r="D12" s="30">
        <v>8</v>
      </c>
      <c r="E12" s="31"/>
      <c r="G12" s="128" t="s">
        <v>186</v>
      </c>
      <c r="H12" s="46"/>
      <c r="I12" s="46"/>
      <c r="J12" s="130">
        <f>ECONOMICA!E10</f>
        <v>65420</v>
      </c>
    </row>
    <row r="13" spans="1:11" x14ac:dyDescent="0.2">
      <c r="A13" s="35" t="s">
        <v>256</v>
      </c>
      <c r="B13" s="32"/>
      <c r="C13" s="29">
        <f t="shared" si="0"/>
        <v>1760</v>
      </c>
      <c r="D13" s="30">
        <v>8</v>
      </c>
      <c r="E13" s="31"/>
      <c r="G13" s="128" t="s">
        <v>187</v>
      </c>
      <c r="H13" s="46"/>
      <c r="I13" s="46"/>
      <c r="J13" s="130">
        <f>J12-(J2+J3)</f>
        <v>-92952</v>
      </c>
    </row>
    <row r="14" spans="1:11" x14ac:dyDescent="0.2">
      <c r="A14" s="35" t="s">
        <v>257</v>
      </c>
      <c r="B14" s="32"/>
      <c r="C14" s="29">
        <f t="shared" si="0"/>
        <v>1760</v>
      </c>
      <c r="D14" s="30">
        <v>8</v>
      </c>
      <c r="E14" s="31"/>
      <c r="G14" s="128" t="s">
        <v>42</v>
      </c>
      <c r="H14" s="46"/>
      <c r="I14" s="46"/>
      <c r="J14" s="129">
        <f>J13/J12</f>
        <v>-1.4208498929990829</v>
      </c>
    </row>
    <row r="15" spans="1:11" x14ac:dyDescent="0.2">
      <c r="A15" s="35" t="s">
        <v>258</v>
      </c>
      <c r="B15" s="32"/>
      <c r="C15" s="29">
        <f t="shared" si="0"/>
        <v>1760</v>
      </c>
      <c r="D15" s="30">
        <v>8</v>
      </c>
      <c r="E15" s="31"/>
    </row>
    <row r="16" spans="1:11" x14ac:dyDescent="0.2">
      <c r="A16" s="35" t="s">
        <v>259</v>
      </c>
      <c r="B16" s="32"/>
      <c r="C16" s="29">
        <f t="shared" si="0"/>
        <v>1760</v>
      </c>
      <c r="D16" s="30">
        <v>8</v>
      </c>
      <c r="E16" s="31"/>
    </row>
    <row r="17" spans="1:11" x14ac:dyDescent="0.2">
      <c r="A17" s="35" t="s">
        <v>261</v>
      </c>
      <c r="B17" s="32"/>
      <c r="C17" s="29">
        <f t="shared" si="0"/>
        <v>1760</v>
      </c>
      <c r="D17" s="30">
        <v>8</v>
      </c>
      <c r="E17" s="31"/>
      <c r="F17" s="124"/>
      <c r="K17" s="125"/>
    </row>
    <row r="18" spans="1:11" x14ac:dyDescent="0.2">
      <c r="A18" s="35" t="s">
        <v>260</v>
      </c>
      <c r="B18" s="32"/>
      <c r="C18" s="29">
        <f t="shared" si="0"/>
        <v>1760</v>
      </c>
      <c r="D18" s="30">
        <v>8</v>
      </c>
      <c r="E18" s="31"/>
    </row>
    <row r="19" spans="1:11" x14ac:dyDescent="0.2">
      <c r="A19" s="35" t="s">
        <v>262</v>
      </c>
      <c r="B19" s="32"/>
      <c r="C19" s="29">
        <f t="shared" si="0"/>
        <v>1320</v>
      </c>
      <c r="D19" s="30">
        <v>6</v>
      </c>
      <c r="E19" s="31"/>
    </row>
    <row r="20" spans="1:11" x14ac:dyDescent="0.2">
      <c r="A20" s="35" t="s">
        <v>263</v>
      </c>
      <c r="B20" s="32"/>
      <c r="C20" s="29">
        <f t="shared" si="0"/>
        <v>1100</v>
      </c>
      <c r="D20" s="30">
        <v>5</v>
      </c>
      <c r="E20" s="31"/>
    </row>
    <row r="21" spans="1:11" x14ac:dyDescent="0.2">
      <c r="A21" s="35" t="s">
        <v>264</v>
      </c>
      <c r="B21" s="32"/>
      <c r="C21" s="29">
        <f t="shared" si="0"/>
        <v>440</v>
      </c>
      <c r="D21" s="30">
        <v>2</v>
      </c>
      <c r="E21" s="31"/>
    </row>
    <row r="22" spans="1:11" x14ac:dyDescent="0.2">
      <c r="A22" s="35" t="s">
        <v>265</v>
      </c>
      <c r="B22" s="32"/>
      <c r="C22" s="29">
        <f t="shared" si="0"/>
        <v>440</v>
      </c>
      <c r="D22" s="30">
        <v>2</v>
      </c>
      <c r="E22" s="31"/>
    </row>
    <row r="23" spans="1:11" x14ac:dyDescent="0.2">
      <c r="A23" s="35" t="s">
        <v>266</v>
      </c>
      <c r="B23" s="32"/>
      <c r="C23" s="29">
        <f t="shared" si="0"/>
        <v>440</v>
      </c>
      <c r="D23" s="30">
        <v>2</v>
      </c>
      <c r="E23" s="31"/>
    </row>
    <row r="24" spans="1:11" x14ac:dyDescent="0.2">
      <c r="A24" s="35" t="s">
        <v>267</v>
      </c>
      <c r="B24" s="32"/>
      <c r="C24" s="29">
        <f t="shared" si="0"/>
        <v>2200</v>
      </c>
      <c r="D24" s="30">
        <v>10</v>
      </c>
      <c r="E24" s="31"/>
    </row>
    <row r="25" spans="1:11" x14ac:dyDescent="0.2">
      <c r="A25" s="35" t="s">
        <v>268</v>
      </c>
      <c r="B25" s="32"/>
      <c r="C25" s="29">
        <f t="shared" si="0"/>
        <v>2200</v>
      </c>
      <c r="D25" s="30">
        <v>10</v>
      </c>
      <c r="E25" s="31"/>
    </row>
    <row r="26" spans="1:11" x14ac:dyDescent="0.2">
      <c r="A26" s="35" t="s">
        <v>269</v>
      </c>
      <c r="B26" s="32"/>
      <c r="C26" s="29">
        <f t="shared" si="0"/>
        <v>2200</v>
      </c>
      <c r="D26" s="30">
        <v>10</v>
      </c>
      <c r="E26" s="31"/>
    </row>
    <row r="27" spans="1:11" x14ac:dyDescent="0.2">
      <c r="A27" s="35" t="s">
        <v>270</v>
      </c>
      <c r="B27" s="32"/>
      <c r="C27" s="29">
        <f t="shared" si="0"/>
        <v>2200</v>
      </c>
      <c r="D27" s="30">
        <v>10</v>
      </c>
      <c r="E27" s="31"/>
    </row>
    <row r="28" spans="1:11" x14ac:dyDescent="0.2">
      <c r="A28" s="35" t="s">
        <v>271</v>
      </c>
      <c r="B28" s="32"/>
      <c r="C28" s="29">
        <f t="shared" si="0"/>
        <v>2200</v>
      </c>
      <c r="D28" s="30">
        <v>10</v>
      </c>
      <c r="E28" s="31"/>
    </row>
    <row r="29" spans="1:11" x14ac:dyDescent="0.2">
      <c r="A29" s="35" t="s">
        <v>272</v>
      </c>
      <c r="B29" s="32"/>
      <c r="C29" s="29">
        <f t="shared" si="0"/>
        <v>2200</v>
      </c>
      <c r="D29" s="30">
        <v>10</v>
      </c>
      <c r="E29" s="31"/>
    </row>
    <row r="30" spans="1:11" x14ac:dyDescent="0.2">
      <c r="A30" s="35" t="s">
        <v>273</v>
      </c>
      <c r="B30" s="32"/>
      <c r="C30" s="29">
        <f t="shared" si="0"/>
        <v>2200</v>
      </c>
      <c r="D30" s="30">
        <v>10</v>
      </c>
      <c r="E30" s="31"/>
    </row>
    <row r="31" spans="1:11" x14ac:dyDescent="0.2">
      <c r="A31" s="35" t="s">
        <v>274</v>
      </c>
      <c r="B31" s="32"/>
      <c r="C31" s="29">
        <f t="shared" si="0"/>
        <v>2200</v>
      </c>
      <c r="D31" s="30">
        <v>10</v>
      </c>
      <c r="E31" s="31"/>
    </row>
    <row r="32" spans="1:11" x14ac:dyDescent="0.2">
      <c r="A32" s="35" t="s">
        <v>275</v>
      </c>
      <c r="B32" s="32"/>
      <c r="C32" s="29">
        <f t="shared" si="0"/>
        <v>2200</v>
      </c>
      <c r="D32" s="30">
        <v>10</v>
      </c>
      <c r="E32" s="31"/>
    </row>
    <row r="33" spans="1:5" x14ac:dyDescent="0.2">
      <c r="A33" s="35" t="s">
        <v>276</v>
      </c>
      <c r="B33" s="32"/>
      <c r="C33" s="29">
        <f t="shared" si="0"/>
        <v>1100</v>
      </c>
      <c r="D33" s="30">
        <v>5</v>
      </c>
      <c r="E33" s="31"/>
    </row>
    <row r="34" spans="1:5" x14ac:dyDescent="0.2">
      <c r="A34" s="35" t="s">
        <v>277</v>
      </c>
      <c r="B34" s="32"/>
      <c r="C34" s="29">
        <f t="shared" si="0"/>
        <v>1100</v>
      </c>
      <c r="D34" s="30">
        <v>5</v>
      </c>
      <c r="E34" s="31"/>
    </row>
    <row r="35" spans="1:5" x14ac:dyDescent="0.2">
      <c r="A35" s="35" t="s">
        <v>278</v>
      </c>
      <c r="B35" s="32"/>
      <c r="C35" s="29">
        <f t="shared" si="0"/>
        <v>1980</v>
      </c>
      <c r="D35" s="30">
        <v>9</v>
      </c>
      <c r="E35" s="31"/>
    </row>
    <row r="36" spans="1:5" x14ac:dyDescent="0.2">
      <c r="A36" s="35" t="s">
        <v>279</v>
      </c>
      <c r="B36" s="32"/>
      <c r="C36" s="29">
        <f t="shared" si="0"/>
        <v>1100</v>
      </c>
      <c r="D36" s="30">
        <v>5</v>
      </c>
      <c r="E36" s="31"/>
    </row>
    <row r="37" spans="1:5" x14ac:dyDescent="0.2">
      <c r="A37" s="35" t="s">
        <v>280</v>
      </c>
      <c r="B37" s="32"/>
      <c r="C37" s="29">
        <f t="shared" si="0"/>
        <v>1100</v>
      </c>
      <c r="D37" s="30">
        <v>5</v>
      </c>
      <c r="E37" s="31"/>
    </row>
    <row r="38" spans="1:5" x14ac:dyDescent="0.2">
      <c r="A38" s="35" t="s">
        <v>281</v>
      </c>
      <c r="B38" s="32"/>
      <c r="C38" s="29">
        <f t="shared" si="0"/>
        <v>3300</v>
      </c>
      <c r="D38" s="30">
        <v>15</v>
      </c>
      <c r="E38" s="31"/>
    </row>
    <row r="39" spans="1:5" x14ac:dyDescent="0.2">
      <c r="A39" s="35" t="s">
        <v>282</v>
      </c>
      <c r="B39" s="32"/>
      <c r="C39" s="29">
        <f t="shared" si="0"/>
        <v>1100</v>
      </c>
      <c r="D39" s="30">
        <v>5</v>
      </c>
      <c r="E39" s="31"/>
    </row>
    <row r="40" spans="1:5" x14ac:dyDescent="0.2">
      <c r="A40" s="35" t="s">
        <v>283</v>
      </c>
      <c r="B40" s="32"/>
      <c r="C40" s="29">
        <f t="shared" si="0"/>
        <v>2200</v>
      </c>
      <c r="D40" s="30">
        <v>10</v>
      </c>
      <c r="E40" s="31"/>
    </row>
    <row r="41" spans="1:5" x14ac:dyDescent="0.2">
      <c r="A41" s="35" t="s">
        <v>284</v>
      </c>
      <c r="B41" s="32"/>
      <c r="C41" s="29">
        <f t="shared" si="0"/>
        <v>1100</v>
      </c>
      <c r="D41" s="30">
        <v>5</v>
      </c>
      <c r="E41" s="31"/>
    </row>
    <row r="42" spans="1:5" x14ac:dyDescent="0.2">
      <c r="A42" s="35" t="s">
        <v>285</v>
      </c>
      <c r="B42" s="32"/>
      <c r="C42" s="29">
        <f t="shared" si="0"/>
        <v>440</v>
      </c>
      <c r="D42" s="30">
        <v>2</v>
      </c>
      <c r="E42" s="31"/>
    </row>
    <row r="43" spans="1:5" x14ac:dyDescent="0.2">
      <c r="A43" s="35" t="s">
        <v>286</v>
      </c>
      <c r="B43" s="32"/>
      <c r="C43" s="29">
        <f t="shared" si="0"/>
        <v>440</v>
      </c>
      <c r="D43" s="30">
        <v>2</v>
      </c>
      <c r="E43" s="31"/>
    </row>
    <row r="44" spans="1:5" x14ac:dyDescent="0.2">
      <c r="A44" s="35" t="s">
        <v>287</v>
      </c>
      <c r="B44" s="32"/>
      <c r="C44" s="29">
        <f t="shared" si="0"/>
        <v>1100</v>
      </c>
      <c r="D44" s="30">
        <v>5</v>
      </c>
      <c r="E44" s="31"/>
    </row>
    <row r="45" spans="1:5" x14ac:dyDescent="0.2">
      <c r="A45" s="35" t="s">
        <v>288</v>
      </c>
      <c r="B45" s="32"/>
      <c r="C45" s="29">
        <f t="shared" si="0"/>
        <v>220</v>
      </c>
      <c r="D45" s="30">
        <v>1</v>
      </c>
      <c r="E45" s="31"/>
    </row>
    <row r="46" spans="1:5" x14ac:dyDescent="0.2">
      <c r="A46" s="35" t="s">
        <v>289</v>
      </c>
      <c r="B46" s="32"/>
      <c r="C46" s="29">
        <f t="shared" si="0"/>
        <v>660</v>
      </c>
      <c r="D46" s="30">
        <v>3</v>
      </c>
      <c r="E46" s="31"/>
    </row>
    <row r="47" spans="1:5" x14ac:dyDescent="0.2">
      <c r="A47" s="35" t="s">
        <v>290</v>
      </c>
      <c r="B47" s="32"/>
      <c r="C47" s="29">
        <f t="shared" si="0"/>
        <v>660</v>
      </c>
      <c r="D47" s="30">
        <v>3</v>
      </c>
      <c r="E47" s="31"/>
    </row>
    <row r="48" spans="1:5" x14ac:dyDescent="0.2">
      <c r="A48" s="35" t="s">
        <v>291</v>
      </c>
      <c r="B48" s="32"/>
      <c r="C48" s="29">
        <f t="shared" si="0"/>
        <v>660</v>
      </c>
      <c r="D48" s="30">
        <v>3</v>
      </c>
      <c r="E48" s="31"/>
    </row>
    <row r="49" spans="1:5" x14ac:dyDescent="0.2">
      <c r="A49" s="35" t="s">
        <v>292</v>
      </c>
      <c r="B49" s="32"/>
      <c r="C49" s="29">
        <f t="shared" si="0"/>
        <v>3300</v>
      </c>
      <c r="D49" s="30">
        <v>15</v>
      </c>
      <c r="E49" s="31"/>
    </row>
    <row r="50" spans="1:5" x14ac:dyDescent="0.2">
      <c r="A50" s="28" t="s">
        <v>219</v>
      </c>
      <c r="B50" s="126"/>
      <c r="C50" s="33">
        <f>D50*$I$2</f>
        <v>1760</v>
      </c>
      <c r="D50" s="34">
        <v>8</v>
      </c>
      <c r="E50" s="31"/>
    </row>
    <row r="51" spans="1:5" ht="15" x14ac:dyDescent="0.2">
      <c r="A51" s="28" t="s">
        <v>220</v>
      </c>
      <c r="B51" s="126"/>
      <c r="C51" s="33">
        <f>D51*$I$2</f>
        <v>15840</v>
      </c>
      <c r="D51" s="34">
        <f>3*24</f>
        <v>72</v>
      </c>
      <c r="E51" s="31" t="s">
        <v>249</v>
      </c>
    </row>
    <row r="52" spans="1:5" ht="15" x14ac:dyDescent="0.2">
      <c r="A52" s="28" t="s">
        <v>198</v>
      </c>
      <c r="B52" s="126"/>
      <c r="C52" s="33">
        <f>D52*$I$2</f>
        <v>9680</v>
      </c>
      <c r="D52" s="34">
        <f>66/1.5</f>
        <v>44</v>
      </c>
      <c r="E52" s="31" t="s">
        <v>221</v>
      </c>
    </row>
    <row r="53" spans="1:5" x14ac:dyDescent="0.2">
      <c r="A53" s="28" t="s">
        <v>43</v>
      </c>
      <c r="B53" s="126">
        <v>0.05</v>
      </c>
      <c r="C53" s="33">
        <f>D53*$I$2</f>
        <v>3839</v>
      </c>
      <c r="D53" s="34">
        <f>D6*B53</f>
        <v>17.45</v>
      </c>
      <c r="E53" s="36"/>
    </row>
    <row r="54" spans="1:5" x14ac:dyDescent="0.2">
      <c r="A54" s="37"/>
      <c r="B54" s="37"/>
      <c r="C54" s="38">
        <f>SUM(C3:C6,C50:C53)</f>
        <v>121979</v>
      </c>
      <c r="D54" s="38">
        <f>SUM(D3:D6,D50:D53)</f>
        <v>554.45000000000005</v>
      </c>
      <c r="E54" s="37"/>
    </row>
    <row r="55" spans="1:5" x14ac:dyDescent="0.2">
      <c r="A55" s="37"/>
      <c r="B55" s="37"/>
      <c r="C55" s="37"/>
      <c r="D55" s="37"/>
      <c r="E55" s="37"/>
    </row>
    <row r="56" spans="1:5" x14ac:dyDescent="0.2">
      <c r="A56" s="154" t="s">
        <v>44</v>
      </c>
      <c r="B56" s="155"/>
      <c r="C56" s="155"/>
      <c r="D56" s="155"/>
      <c r="E56" s="156"/>
    </row>
    <row r="57" spans="1:5" x14ac:dyDescent="0.2">
      <c r="A57" s="2" t="s">
        <v>45</v>
      </c>
      <c r="B57" s="2" t="s">
        <v>46</v>
      </c>
      <c r="C57" s="2" t="s">
        <v>30</v>
      </c>
      <c r="D57" s="154" t="s">
        <v>47</v>
      </c>
      <c r="E57" s="156"/>
    </row>
    <row r="58" spans="1:5" x14ac:dyDescent="0.2">
      <c r="A58" s="1" t="s">
        <v>222</v>
      </c>
      <c r="B58" s="1" t="s">
        <v>225</v>
      </c>
      <c r="C58" s="27">
        <v>7020</v>
      </c>
      <c r="D58" s="1"/>
      <c r="E58" s="1" t="s">
        <v>246</v>
      </c>
    </row>
    <row r="59" spans="1:5" x14ac:dyDescent="0.2">
      <c r="A59" s="1" t="s">
        <v>223</v>
      </c>
      <c r="B59" s="1" t="s">
        <v>226</v>
      </c>
      <c r="C59" s="27">
        <v>1863</v>
      </c>
      <c r="D59" s="1"/>
      <c r="E59" s="1" t="s">
        <v>246</v>
      </c>
    </row>
    <row r="60" spans="1:5" x14ac:dyDescent="0.2">
      <c r="A60" s="1" t="s">
        <v>224</v>
      </c>
      <c r="B60" s="1" t="s">
        <v>227</v>
      </c>
      <c r="C60" s="27">
        <v>26160</v>
      </c>
      <c r="D60" s="1"/>
      <c r="E60" s="1" t="s">
        <v>293</v>
      </c>
    </row>
    <row r="61" spans="1:5" x14ac:dyDescent="0.2">
      <c r="A61" s="1" t="s">
        <v>218</v>
      </c>
      <c r="B61" s="1"/>
      <c r="C61" s="27">
        <v>1350</v>
      </c>
      <c r="D61" s="1"/>
      <c r="E61" s="1" t="s">
        <v>246</v>
      </c>
    </row>
    <row r="62" spans="1:5" x14ac:dyDescent="0.2">
      <c r="A62" s="1"/>
      <c r="B62" s="1"/>
      <c r="C62" s="1"/>
      <c r="D62" s="1"/>
      <c r="E62" s="1"/>
    </row>
    <row r="63" spans="1:5" x14ac:dyDescent="0.2">
      <c r="B63" s="37"/>
      <c r="C63" s="131">
        <f>SUM(C58:C62)</f>
        <v>36393</v>
      </c>
    </row>
    <row r="64" spans="1:5" ht="15" x14ac:dyDescent="0.2">
      <c r="B64"/>
      <c r="C64"/>
    </row>
    <row r="65" spans="2:3" ht="15" x14ac:dyDescent="0.2">
      <c r="B65"/>
      <c r="C65"/>
    </row>
    <row r="66" spans="2:3" ht="15" x14ac:dyDescent="0.2">
      <c r="B66" s="121" t="s">
        <v>181</v>
      </c>
      <c r="C66"/>
    </row>
    <row r="67" spans="2:3" ht="15" x14ac:dyDescent="0.2">
      <c r="B67" s="121" t="s">
        <v>181</v>
      </c>
      <c r="C67"/>
    </row>
    <row r="68" spans="2:3" ht="15" x14ac:dyDescent="0.2">
      <c r="B68"/>
      <c r="C68" s="121" t="s">
        <v>181</v>
      </c>
    </row>
  </sheetData>
  <mergeCells count="3">
    <mergeCell ref="A1:E1"/>
    <mergeCell ref="A56:E56"/>
    <mergeCell ref="D57:E57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FB3C-D799-4C82-88BB-37EFF0A04ACB}">
  <sheetPr>
    <tabColor theme="9" tint="0.39997558519241921"/>
  </sheetPr>
  <dimension ref="A1:E12"/>
  <sheetViews>
    <sheetView zoomScaleNormal="100" workbookViewId="0">
      <selection activeCell="C12" sqref="C12"/>
    </sheetView>
  </sheetViews>
  <sheetFormatPr baseColWidth="10" defaultColWidth="62.6640625" defaultRowHeight="14" x14ac:dyDescent="0.2"/>
  <cols>
    <col min="1" max="1" width="51.5" style="4" bestFit="1" customWidth="1"/>
    <col min="2" max="2" width="11.6640625" style="4" bestFit="1" customWidth="1"/>
    <col min="3" max="3" width="15" style="4" bestFit="1" customWidth="1"/>
    <col min="4" max="4" width="9.1640625" style="4" bestFit="1" customWidth="1"/>
    <col min="5" max="5" width="7.1640625" style="4" customWidth="1"/>
    <col min="6" max="6" width="44.33203125" style="4" customWidth="1"/>
    <col min="7" max="7" width="16.83203125" style="4" customWidth="1"/>
    <col min="8" max="16384" width="62.6640625" style="4"/>
  </cols>
  <sheetData>
    <row r="1" spans="1:5" x14ac:dyDescent="0.2">
      <c r="A1" s="2" t="s">
        <v>48</v>
      </c>
      <c r="B1" s="2" t="s">
        <v>49</v>
      </c>
      <c r="C1" s="2" t="s">
        <v>50</v>
      </c>
      <c r="D1" s="2" t="s">
        <v>105</v>
      </c>
    </row>
    <row r="2" spans="1:5" ht="15" x14ac:dyDescent="0.2">
      <c r="A2" s="39" t="s">
        <v>119</v>
      </c>
      <c r="B2" s="40"/>
      <c r="C2" s="41">
        <f>'MANODOPERA DA CCNL'!M12</f>
        <v>127661.67770698572</v>
      </c>
      <c r="D2" s="92">
        <f>C2/$C$10</f>
        <v>0.74993647259682561</v>
      </c>
    </row>
    <row r="3" spans="1:5" ht="15" x14ac:dyDescent="0.2">
      <c r="A3" s="39" t="s">
        <v>120</v>
      </c>
      <c r="B3" s="40"/>
      <c r="C3" s="41">
        <f>'MANODOPERA DA CCNL'!E42</f>
        <v>0</v>
      </c>
      <c r="D3" s="92">
        <f>C3/$C$10</f>
        <v>0</v>
      </c>
    </row>
    <row r="4" spans="1:5" ht="15" x14ac:dyDescent="0.2">
      <c r="A4" s="39" t="s">
        <v>51</v>
      </c>
      <c r="B4" s="40">
        <v>0.03</v>
      </c>
      <c r="C4" s="41">
        <f>B4*C2</f>
        <v>3829.8503312095713</v>
      </c>
      <c r="D4" s="92">
        <f t="shared" ref="D4:D9" si="0">C4/$C$10</f>
        <v>2.2498094177904767E-2</v>
      </c>
      <c r="E4" s="53" t="s">
        <v>52</v>
      </c>
    </row>
    <row r="5" spans="1:5" ht="15" x14ac:dyDescent="0.2">
      <c r="A5" s="39" t="s">
        <v>53</v>
      </c>
      <c r="B5" s="40">
        <v>0.02</v>
      </c>
      <c r="C5" s="41">
        <f>B5*C11</f>
        <v>1308.4000000000001</v>
      </c>
      <c r="D5" s="92">
        <f t="shared" si="0"/>
        <v>7.6860722682794104E-3</v>
      </c>
      <c r="E5" s="53" t="s">
        <v>54</v>
      </c>
    </row>
    <row r="6" spans="1:5" ht="15" x14ac:dyDescent="0.2">
      <c r="A6" s="39" t="s">
        <v>55</v>
      </c>
      <c r="B6" s="42">
        <v>1.06</v>
      </c>
      <c r="C6" s="41">
        <f>B6*'MANODOPERA DA CCNL'!L12</f>
        <v>644.48</v>
      </c>
      <c r="D6" s="92">
        <f t="shared" si="0"/>
        <v>3.7859369118470759E-3</v>
      </c>
      <c r="E6" s="53" t="s">
        <v>56</v>
      </c>
    </row>
    <row r="7" spans="1:5" ht="15" x14ac:dyDescent="0.2">
      <c r="A7" s="39" t="s">
        <v>57</v>
      </c>
      <c r="B7" s="40"/>
      <c r="C7" s="41"/>
      <c r="D7" s="92">
        <f t="shared" si="0"/>
        <v>0</v>
      </c>
      <c r="E7" s="53" t="s">
        <v>58</v>
      </c>
    </row>
    <row r="8" spans="1:5" ht="15" x14ac:dyDescent="0.2">
      <c r="A8" s="39" t="s">
        <v>59</v>
      </c>
      <c r="B8" s="114">
        <f>'ONERI SICUREZZA'!C25*2</f>
        <v>0.64569286732885622</v>
      </c>
      <c r="C8" s="41">
        <f>B8*'MANODOPERA DA CCNL'!L12</f>
        <v>392.58126333594458</v>
      </c>
      <c r="D8" s="92">
        <f t="shared" si="0"/>
        <v>2.3061815661666921E-3</v>
      </c>
      <c r="E8" s="53" t="s">
        <v>182</v>
      </c>
    </row>
    <row r="9" spans="1:5" ht="15" x14ac:dyDescent="0.2">
      <c r="A9" s="39" t="s">
        <v>60</v>
      </c>
      <c r="B9" s="40"/>
      <c r="C9" s="41">
        <f>'COST MODEL'!C63</f>
        <v>36393</v>
      </c>
      <c r="D9" s="92">
        <f t="shared" si="0"/>
        <v>0.21378724247897626</v>
      </c>
      <c r="E9" s="53" t="s">
        <v>61</v>
      </c>
    </row>
    <row r="10" spans="1:5" x14ac:dyDescent="0.2">
      <c r="A10" s="2" t="s">
        <v>62</v>
      </c>
      <c r="B10" s="2"/>
      <c r="C10" s="43">
        <f>SUM(C2:C9)</f>
        <v>170229.98930153126</v>
      </c>
      <c r="D10" s="43"/>
    </row>
    <row r="11" spans="1:5" x14ac:dyDescent="0.2">
      <c r="A11" s="44" t="s">
        <v>63</v>
      </c>
      <c r="B11" s="44"/>
      <c r="C11" s="45">
        <f>ECONOMICA!E10</f>
        <v>65420</v>
      </c>
      <c r="D11" s="45"/>
    </row>
    <row r="12" spans="1:5" ht="15" x14ac:dyDescent="0.2">
      <c r="A12" s="39" t="s">
        <v>64</v>
      </c>
      <c r="B12" s="40">
        <f>C12/C11</f>
        <v>-1.6021092831172616</v>
      </c>
      <c r="C12" s="41">
        <f>C11-C10</f>
        <v>-104809.98930153126</v>
      </c>
      <c r="D12" s="9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A65C-0CCA-4E96-B210-1AE6A28178CD}">
  <sheetPr>
    <tabColor theme="9" tint="0.39997558519241921"/>
  </sheetPr>
  <dimension ref="A1:N16"/>
  <sheetViews>
    <sheetView zoomScaleNormal="100" workbookViewId="0">
      <selection activeCell="P19" sqref="P19"/>
    </sheetView>
  </sheetViews>
  <sheetFormatPr baseColWidth="10" defaultColWidth="12.1640625" defaultRowHeight="14" x14ac:dyDescent="0.2"/>
  <cols>
    <col min="1" max="1" width="4" style="4" bestFit="1" customWidth="1"/>
    <col min="2" max="2" width="49.5" style="4" bestFit="1" customWidth="1"/>
    <col min="3" max="3" width="8.6640625" style="4" customWidth="1"/>
    <col min="4" max="6" width="8.33203125" style="4" customWidth="1"/>
    <col min="7" max="7" width="9.1640625" style="4" bestFit="1" customWidth="1"/>
    <col min="8" max="8" width="8.83203125" style="4" bestFit="1" customWidth="1"/>
    <col min="9" max="9" width="12.33203125" style="4" bestFit="1" customWidth="1"/>
    <col min="10" max="10" width="6.5" style="4" customWidth="1"/>
    <col min="11" max="11" width="8.83203125" style="4" bestFit="1" customWidth="1"/>
    <col min="12" max="12" width="10.83203125" style="4" customWidth="1"/>
    <col min="13" max="13" width="13.1640625" style="4" bestFit="1" customWidth="1"/>
    <col min="14" max="15" width="12.1640625" style="4"/>
    <col min="16" max="16" width="49" style="4" bestFit="1" customWidth="1"/>
    <col min="17" max="17" width="14.1640625" style="4" bestFit="1" customWidth="1"/>
    <col min="18" max="16384" width="12.1640625" style="4"/>
  </cols>
  <sheetData>
    <row r="1" spans="1:14" ht="14.5" customHeight="1" x14ac:dyDescent="0.2">
      <c r="A1" s="157" t="s">
        <v>103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4" x14ac:dyDescent="0.2">
      <c r="A2" s="2" t="s">
        <v>104</v>
      </c>
      <c r="B2" s="2" t="s">
        <v>106</v>
      </c>
      <c r="C2" s="2" t="s">
        <v>107</v>
      </c>
      <c r="D2" s="2" t="s">
        <v>112</v>
      </c>
      <c r="E2" s="2" t="s">
        <v>113</v>
      </c>
      <c r="F2" s="2" t="s">
        <v>114</v>
      </c>
      <c r="G2" s="2" t="s">
        <v>108</v>
      </c>
      <c r="H2" s="2" t="s">
        <v>109</v>
      </c>
      <c r="I2" s="2" t="s">
        <v>175</v>
      </c>
      <c r="J2" s="2" t="s">
        <v>104</v>
      </c>
      <c r="K2" s="2" t="s">
        <v>183</v>
      </c>
      <c r="L2" s="2" t="s">
        <v>110</v>
      </c>
      <c r="M2" s="2" t="s">
        <v>111</v>
      </c>
    </row>
    <row r="3" spans="1:14" ht="15" x14ac:dyDescent="0.2">
      <c r="A3" s="1">
        <v>1</v>
      </c>
      <c r="B3" s="51" t="s">
        <v>228</v>
      </c>
      <c r="C3" s="52" t="s">
        <v>66</v>
      </c>
      <c r="D3" s="52"/>
      <c r="E3" s="88">
        <v>1</v>
      </c>
      <c r="F3" s="88">
        <f>1-E3</f>
        <v>0</v>
      </c>
      <c r="G3" s="42">
        <f>IF(C3&lt;&gt;"",_xlfn.XLOOKUP('MANODOPERA DA CCNL'!C3,CCNL!$C$3:$L$3,CCNL!$C$27:$L$27),0)</f>
        <v>253.90087603733801</v>
      </c>
      <c r="H3" s="42">
        <f>IF(D3&lt;&gt;"",_xlfn.XLOOKUP('MANODOPERA DA CCNL'!D3,CCNL!$C$3:$L$3,CCNL!$C$27:$L$27),0)</f>
        <v>0</v>
      </c>
      <c r="I3" s="79">
        <f t="shared" ref="I3:I11" si="0">IF(D3="",G3,(G3*E3+H3*F3))</f>
        <v>253.90087603733801</v>
      </c>
      <c r="J3" s="123"/>
      <c r="K3" s="123"/>
      <c r="L3" s="81">
        <f>ROUND($C$16*N3,0)</f>
        <v>43</v>
      </c>
      <c r="M3" s="80">
        <f>L3*I3</f>
        <v>10917.737669605534</v>
      </c>
      <c r="N3" s="140">
        <v>7.0000000000000007E-2</v>
      </c>
    </row>
    <row r="4" spans="1:14" ht="15" x14ac:dyDescent="0.2">
      <c r="A4" s="1">
        <v>2</v>
      </c>
      <c r="B4" s="51" t="s">
        <v>229</v>
      </c>
      <c r="C4" s="52" t="s">
        <v>67</v>
      </c>
      <c r="D4" s="52"/>
      <c r="E4" s="88">
        <v>1</v>
      </c>
      <c r="F4" s="88">
        <f t="shared" ref="F4:F11" si="1">1-E4</f>
        <v>0</v>
      </c>
      <c r="G4" s="42">
        <f>IF(C4&lt;&gt;"",_xlfn.XLOOKUP('MANODOPERA DA CCNL'!C4,CCNL!$C$3:$L$3,CCNL!$C$27:$L$27),0)</f>
        <v>225.00444504238783</v>
      </c>
      <c r="H4" s="42">
        <f>IF(D4&lt;&gt;"",_xlfn.XLOOKUP('MANODOPERA DA CCNL'!D4,CCNL!$C$3:$L$3,CCNL!$C$27:$L$27),0)</f>
        <v>0</v>
      </c>
      <c r="I4" s="79">
        <f t="shared" si="0"/>
        <v>225.00444504238783</v>
      </c>
      <c r="J4" s="123"/>
      <c r="K4" s="123"/>
      <c r="L4" s="81">
        <f t="shared" ref="L4:L11" si="2">ROUND($C$16*N4,0)</f>
        <v>61</v>
      </c>
      <c r="M4" s="80">
        <f t="shared" ref="M4:M11" si="3">L4*I4</f>
        <v>13725.271147585658</v>
      </c>
      <c r="N4" s="140">
        <v>0.1</v>
      </c>
    </row>
    <row r="5" spans="1:14" ht="15" x14ac:dyDescent="0.2">
      <c r="A5" s="1">
        <v>3</v>
      </c>
      <c r="B5" s="51" t="s">
        <v>230</v>
      </c>
      <c r="C5" s="52" t="s">
        <v>69</v>
      </c>
      <c r="D5" s="52" t="s">
        <v>68</v>
      </c>
      <c r="E5" s="88">
        <v>0.5</v>
      </c>
      <c r="F5" s="88">
        <f t="shared" si="1"/>
        <v>0.5</v>
      </c>
      <c r="G5" s="42">
        <f>IF(C5&lt;&gt;"",_xlfn.XLOOKUP('MANODOPERA DA CCNL'!C5,CCNL!$C$3:$L$3,CCNL!$C$27:$L$27),0)</f>
        <v>195.70108226572719</v>
      </c>
      <c r="H5" s="42">
        <f>IF(D5&lt;&gt;"",_xlfn.XLOOKUP('MANODOPERA DA CCNL'!D5,CCNL!$C$3:$L$3,CCNL!$C$27:$L$27),0)</f>
        <v>209.65730356073502</v>
      </c>
      <c r="I5" s="79">
        <f t="shared" si="0"/>
        <v>202.67919291323111</v>
      </c>
      <c r="J5" s="123"/>
      <c r="K5" s="123"/>
      <c r="L5" s="81">
        <f t="shared" si="2"/>
        <v>262</v>
      </c>
      <c r="M5" s="80">
        <f t="shared" si="3"/>
        <v>53101.948543266546</v>
      </c>
      <c r="N5" s="140">
        <v>0.43</v>
      </c>
    </row>
    <row r="6" spans="1:14" ht="15" x14ac:dyDescent="0.2">
      <c r="A6" s="1">
        <v>4</v>
      </c>
      <c r="B6" s="51" t="s">
        <v>231</v>
      </c>
      <c r="C6" s="52" t="s">
        <v>67</v>
      </c>
      <c r="D6" s="52"/>
      <c r="E6" s="88">
        <v>1</v>
      </c>
      <c r="F6" s="88">
        <f>1-E6</f>
        <v>0</v>
      </c>
      <c r="G6" s="42">
        <f>IF(C6&lt;&gt;"",_xlfn.XLOOKUP('MANODOPERA DA CCNL'!C6,CCNL!$C$3:$L$3,CCNL!$C$27:$L$27),0)</f>
        <v>225.00444504238783</v>
      </c>
      <c r="H6" s="42">
        <f>IF(D6&lt;&gt;"",_xlfn.XLOOKUP('MANODOPERA DA CCNL'!D6,CCNL!$C$3:$L$3,CCNL!$C$27:$L$27),0)</f>
        <v>0</v>
      </c>
      <c r="I6" s="79">
        <f t="shared" si="0"/>
        <v>225.00444504238783</v>
      </c>
      <c r="J6" s="123"/>
      <c r="K6" s="123"/>
      <c r="L6" s="81">
        <f t="shared" si="2"/>
        <v>49</v>
      </c>
      <c r="M6" s="80">
        <f t="shared" si="3"/>
        <v>11025.217807077004</v>
      </c>
      <c r="N6" s="140">
        <v>0.08</v>
      </c>
    </row>
    <row r="7" spans="1:14" ht="15" x14ac:dyDescent="0.2">
      <c r="A7" s="1">
        <v>6</v>
      </c>
      <c r="B7" s="51" t="s">
        <v>232</v>
      </c>
      <c r="C7" s="52" t="s">
        <v>68</v>
      </c>
      <c r="D7" s="52"/>
      <c r="E7" s="88">
        <v>1</v>
      </c>
      <c r="F7" s="88">
        <f t="shared" si="1"/>
        <v>0</v>
      </c>
      <c r="G7" s="42">
        <f>IF(C7&lt;&gt;"",_xlfn.XLOOKUP('MANODOPERA DA CCNL'!C7,CCNL!$C$3:$L$3,CCNL!$C$27:$L$27),0)</f>
        <v>209.65730356073502</v>
      </c>
      <c r="H7" s="42">
        <f>IF(D7&lt;&gt;"",_xlfn.XLOOKUP('MANODOPERA DA CCNL'!D7,CCNL!$C$3:$L$3,CCNL!$C$27:$L$27),0)</f>
        <v>0</v>
      </c>
      <c r="I7" s="79">
        <f t="shared" si="0"/>
        <v>209.65730356073502</v>
      </c>
      <c r="J7" s="123"/>
      <c r="K7" s="123"/>
      <c r="L7" s="81">
        <f t="shared" si="2"/>
        <v>30</v>
      </c>
      <c r="M7" s="80">
        <f t="shared" si="3"/>
        <v>6289.7191068220509</v>
      </c>
      <c r="N7" s="140">
        <v>0.05</v>
      </c>
    </row>
    <row r="8" spans="1:14" ht="15" x14ac:dyDescent="0.2">
      <c r="A8" s="1">
        <v>7</v>
      </c>
      <c r="B8" s="1" t="s">
        <v>233</v>
      </c>
      <c r="C8" s="52" t="s">
        <v>67</v>
      </c>
      <c r="D8" s="52"/>
      <c r="E8" s="88">
        <v>1</v>
      </c>
      <c r="F8" s="88">
        <f t="shared" si="1"/>
        <v>0</v>
      </c>
      <c r="G8" s="42">
        <f>IF(C8&lt;&gt;"",_xlfn.XLOOKUP('MANODOPERA DA CCNL'!C8,CCNL!$C$3:$L$3,CCNL!$C$27:$L$27),0)</f>
        <v>225.00444504238783</v>
      </c>
      <c r="H8" s="42">
        <f>IF(D8&lt;&gt;"",_xlfn.XLOOKUP('MANODOPERA DA CCNL'!D8,CCNL!$C$3:$L$3,CCNL!$C$27:$L$27),0)</f>
        <v>0</v>
      </c>
      <c r="I8" s="79">
        <f t="shared" si="0"/>
        <v>225.00444504238783</v>
      </c>
      <c r="J8" s="123"/>
      <c r="K8" s="123"/>
      <c r="L8" s="81">
        <f t="shared" si="2"/>
        <v>30</v>
      </c>
      <c r="M8" s="80">
        <f t="shared" si="3"/>
        <v>6750.1333512716346</v>
      </c>
      <c r="N8" s="140">
        <v>0.05</v>
      </c>
    </row>
    <row r="9" spans="1:14" ht="15" x14ac:dyDescent="0.2">
      <c r="A9" s="1">
        <v>8</v>
      </c>
      <c r="B9" s="51" t="s">
        <v>234</v>
      </c>
      <c r="C9" s="52" t="s">
        <v>68</v>
      </c>
      <c r="D9" s="52" t="s">
        <v>67</v>
      </c>
      <c r="E9" s="88">
        <v>0.5</v>
      </c>
      <c r="F9" s="88">
        <f t="shared" si="1"/>
        <v>0.5</v>
      </c>
      <c r="G9" s="42">
        <f>IF(C9&lt;&gt;"",_xlfn.XLOOKUP('MANODOPERA DA CCNL'!C9,CCNL!$C$3:$L$3,CCNL!$C$27:$L$27),0)</f>
        <v>209.65730356073502</v>
      </c>
      <c r="H9" s="42">
        <f>IF(D9&lt;&gt;"",_xlfn.XLOOKUP('MANODOPERA DA CCNL'!D9,CCNL!$C$3:$L$3,CCNL!$C$27:$L$27),0)</f>
        <v>225.00444504238783</v>
      </c>
      <c r="I9" s="79">
        <f t="shared" si="0"/>
        <v>217.33087430156144</v>
      </c>
      <c r="J9" s="123"/>
      <c r="K9" s="123"/>
      <c r="L9" s="81">
        <f t="shared" si="2"/>
        <v>30</v>
      </c>
      <c r="M9" s="80">
        <f t="shared" si="3"/>
        <v>6519.9262290468432</v>
      </c>
      <c r="N9" s="140">
        <v>0.05</v>
      </c>
    </row>
    <row r="10" spans="1:14" ht="15" x14ac:dyDescent="0.2">
      <c r="A10" s="1">
        <v>9</v>
      </c>
      <c r="B10" s="51" t="s">
        <v>235</v>
      </c>
      <c r="C10" s="52" t="s">
        <v>71</v>
      </c>
      <c r="D10" s="52"/>
      <c r="E10" s="88">
        <v>1</v>
      </c>
      <c r="F10" s="88">
        <f t="shared" si="1"/>
        <v>0</v>
      </c>
      <c r="G10" s="42">
        <f>IF(C10&lt;&gt;"",_xlfn.XLOOKUP('MANODOPERA DA CCNL'!C10,CCNL!$C$3:$L$3,CCNL!$C$27:$L$27),0)</f>
        <v>182.76561001979974</v>
      </c>
      <c r="H10" s="42">
        <f>IF(D10&lt;&gt;"",_xlfn.XLOOKUP('MANODOPERA DA CCNL'!D10,CCNL!$C$3:$L$3,CCNL!$C$27:$L$27),0)</f>
        <v>0</v>
      </c>
      <c r="I10" s="79">
        <f t="shared" si="0"/>
        <v>182.76561001979974</v>
      </c>
      <c r="J10" s="123"/>
      <c r="K10" s="123"/>
      <c r="L10" s="81">
        <f t="shared" si="2"/>
        <v>91</v>
      </c>
      <c r="M10" s="80">
        <f t="shared" si="3"/>
        <v>16631.670511801774</v>
      </c>
      <c r="N10" s="140">
        <v>0.15</v>
      </c>
    </row>
    <row r="11" spans="1:14" ht="15" x14ac:dyDescent="0.2">
      <c r="A11" s="1">
        <v>10</v>
      </c>
      <c r="B11" s="51" t="s">
        <v>236</v>
      </c>
      <c r="C11" s="52" t="s">
        <v>67</v>
      </c>
      <c r="D11" s="52"/>
      <c r="E11" s="88">
        <v>1</v>
      </c>
      <c r="F11" s="88">
        <f t="shared" si="1"/>
        <v>0</v>
      </c>
      <c r="G11" s="42">
        <f>IF(C11&lt;&gt;"",_xlfn.XLOOKUP('MANODOPERA DA CCNL'!C11,CCNL!$C$3:$L$3,CCNL!$C$27:$L$27),0)</f>
        <v>225.00444504238783</v>
      </c>
      <c r="H11" s="42">
        <f>IF(D11&lt;&gt;"",_xlfn.XLOOKUP('MANODOPERA DA CCNL'!D11,CCNL!$C$3:$L$3,CCNL!$C$27:$L$27),0)</f>
        <v>0</v>
      </c>
      <c r="I11" s="79">
        <f t="shared" si="0"/>
        <v>225.00444504238783</v>
      </c>
      <c r="J11" s="123"/>
      <c r="K11" s="123"/>
      <c r="L11" s="81">
        <f t="shared" si="2"/>
        <v>12</v>
      </c>
      <c r="M11" s="80">
        <f t="shared" si="3"/>
        <v>2700.0533405086539</v>
      </c>
      <c r="N11" s="140">
        <v>0.02</v>
      </c>
    </row>
    <row r="12" spans="1:14" x14ac:dyDescent="0.2">
      <c r="J12" s="123">
        <f>SUM(J3:J11)</f>
        <v>0</v>
      </c>
      <c r="K12" s="123"/>
      <c r="L12" s="83">
        <f>SUM(L3:L11)</f>
        <v>608</v>
      </c>
      <c r="M12" s="82">
        <f>SUM(M3:M11)</f>
        <v>127661.67770698572</v>
      </c>
      <c r="N12" s="132">
        <f>SUM(N3:N11)</f>
        <v>1</v>
      </c>
    </row>
    <row r="13" spans="1:14" x14ac:dyDescent="0.2">
      <c r="M13" s="61"/>
    </row>
    <row r="14" spans="1:14" x14ac:dyDescent="0.2">
      <c r="B14" s="4" t="s">
        <v>237</v>
      </c>
      <c r="C14" s="143">
        <f>'COST MODEL'!D54</f>
        <v>554.45000000000005</v>
      </c>
    </row>
    <row r="15" spans="1:14" x14ac:dyDescent="0.2">
      <c r="B15" s="4" t="s">
        <v>238</v>
      </c>
      <c r="C15" s="143">
        <v>1.1000000000000001</v>
      </c>
    </row>
    <row r="16" spans="1:14" x14ac:dyDescent="0.2">
      <c r="B16" s="4" t="s">
        <v>239</v>
      </c>
      <c r="C16" s="144">
        <f>C14*C15</f>
        <v>609.8950000000001</v>
      </c>
    </row>
  </sheetData>
  <mergeCells count="1">
    <mergeCell ref="A1:M1"/>
  </mergeCells>
  <conditionalFormatting sqref="E3:F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F213-BC31-453D-9278-4AC23392DADF}">
  <sheetPr>
    <tabColor theme="8"/>
  </sheetPr>
  <dimension ref="A1:K41"/>
  <sheetViews>
    <sheetView workbookViewId="0">
      <selection activeCell="L3" sqref="L3:Q27"/>
    </sheetView>
  </sheetViews>
  <sheetFormatPr baseColWidth="10" defaultColWidth="8.6640625" defaultRowHeight="14" x14ac:dyDescent="0.2"/>
  <cols>
    <col min="1" max="1" width="42.5" style="4" bestFit="1" customWidth="1"/>
    <col min="2" max="2" width="8.83203125" style="4" bestFit="1" customWidth="1"/>
    <col min="3" max="3" width="12.6640625" style="4" customWidth="1"/>
    <col min="4" max="4" width="13.33203125" style="4" customWidth="1"/>
    <col min="5" max="5" width="11.6640625" style="4" customWidth="1"/>
    <col min="6" max="6" width="13.6640625" style="4" customWidth="1"/>
    <col min="7" max="7" width="12.33203125" style="4" customWidth="1"/>
    <col min="8" max="10" width="12.1640625" style="4" customWidth="1"/>
    <col min="11" max="11" width="12.5" style="4" customWidth="1"/>
    <col min="12" max="16384" width="8.6640625" style="4"/>
  </cols>
  <sheetData>
    <row r="1" spans="1:11" ht="39" customHeight="1" x14ac:dyDescent="0.2">
      <c r="A1" s="158" t="s">
        <v>72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3" spans="1:11" x14ac:dyDescent="0.2">
      <c r="B3" s="68" t="s">
        <v>117</v>
      </c>
      <c r="C3" s="68" t="s">
        <v>73</v>
      </c>
      <c r="D3" s="68" t="s">
        <v>74</v>
      </c>
      <c r="E3" s="68" t="s">
        <v>66</v>
      </c>
      <c r="F3" s="68" t="s">
        <v>65</v>
      </c>
      <c r="G3" s="68" t="s">
        <v>67</v>
      </c>
      <c r="H3" s="68" t="s">
        <v>68</v>
      </c>
      <c r="I3" s="68" t="s">
        <v>69</v>
      </c>
      <c r="J3" s="68" t="s">
        <v>71</v>
      </c>
      <c r="K3" s="68" t="s">
        <v>70</v>
      </c>
    </row>
    <row r="4" spans="1:11" x14ac:dyDescent="0.2">
      <c r="A4" s="1" t="s">
        <v>75</v>
      </c>
      <c r="B4" s="1"/>
      <c r="C4" s="93">
        <f>2985.18</f>
        <v>2985.18</v>
      </c>
      <c r="D4" s="93">
        <f>2985.18</f>
        <v>2985.18</v>
      </c>
      <c r="E4" s="93">
        <v>2684.27</v>
      </c>
      <c r="F4" s="93">
        <v>2684.27</v>
      </c>
      <c r="G4" s="93">
        <v>2468.33</v>
      </c>
      <c r="H4" s="93">
        <v>2300.75</v>
      </c>
      <c r="I4" s="93">
        <v>2145.87</v>
      </c>
      <c r="J4" s="93">
        <v>2003.23</v>
      </c>
      <c r="K4" s="93">
        <v>1920</v>
      </c>
    </row>
    <row r="5" spans="1:11" x14ac:dyDescent="0.2">
      <c r="A5" s="1" t="s">
        <v>76</v>
      </c>
      <c r="B5" s="1"/>
      <c r="C5" s="94">
        <v>59.39</v>
      </c>
      <c r="D5" s="94">
        <v>59.39</v>
      </c>
      <c r="E5" s="94">
        <v>59.39</v>
      </c>
      <c r="F5" s="94">
        <v>59.39</v>
      </c>
      <c r="G5" s="93"/>
      <c r="H5" s="93"/>
      <c r="I5" s="93"/>
      <c r="J5" s="93"/>
      <c r="K5" s="93"/>
    </row>
    <row r="6" spans="1:11" x14ac:dyDescent="0.2">
      <c r="A6" s="1" t="s">
        <v>77</v>
      </c>
      <c r="B6" s="1"/>
      <c r="C6" s="94">
        <v>69.72</v>
      </c>
      <c r="D6" s="94"/>
      <c r="E6" s="94">
        <v>49.06</v>
      </c>
      <c r="F6" s="94"/>
      <c r="G6" s="93"/>
      <c r="H6" s="93"/>
      <c r="I6" s="93"/>
      <c r="J6" s="93"/>
      <c r="K6" s="93"/>
    </row>
    <row r="7" spans="1:11" x14ac:dyDescent="0.2">
      <c r="A7" s="1" t="s">
        <v>118</v>
      </c>
      <c r="B7" s="101">
        <v>3</v>
      </c>
      <c r="C7" s="94">
        <f>45.96*B7</f>
        <v>137.88</v>
      </c>
      <c r="D7" s="94">
        <f>45.96*B7</f>
        <v>137.88</v>
      </c>
      <c r="E7" s="94">
        <f>40.95*B7</f>
        <v>122.85000000000001</v>
      </c>
      <c r="F7" s="94">
        <f>40.95*B7</f>
        <v>122.85000000000001</v>
      </c>
      <c r="G7" s="93">
        <f>36.41*B7</f>
        <v>109.22999999999999</v>
      </c>
      <c r="H7" s="93">
        <f>32.43*B7</f>
        <v>97.289999999999992</v>
      </c>
      <c r="I7" s="93">
        <f>29.64*B7</f>
        <v>88.92</v>
      </c>
      <c r="J7" s="93">
        <f>26.75*B7</f>
        <v>80.25</v>
      </c>
      <c r="K7" s="93">
        <f>25.05*B7</f>
        <v>75.150000000000006</v>
      </c>
    </row>
    <row r="8" spans="1:11" x14ac:dyDescent="0.2">
      <c r="A8" s="1" t="s">
        <v>121</v>
      </c>
      <c r="B8" s="27">
        <v>40.416666666666664</v>
      </c>
      <c r="C8" s="93">
        <f>$B$8</f>
        <v>40.416666666666664</v>
      </c>
      <c r="D8" s="93">
        <f t="shared" ref="D8:K8" si="0">$B$8</f>
        <v>40.416666666666664</v>
      </c>
      <c r="E8" s="93">
        <f t="shared" si="0"/>
        <v>40.416666666666664</v>
      </c>
      <c r="F8" s="93">
        <f t="shared" si="0"/>
        <v>40.416666666666664</v>
      </c>
      <c r="G8" s="93">
        <f t="shared" si="0"/>
        <v>40.416666666666664</v>
      </c>
      <c r="H8" s="93">
        <f t="shared" si="0"/>
        <v>40.416666666666664</v>
      </c>
      <c r="I8" s="93">
        <f t="shared" si="0"/>
        <v>40.416666666666664</v>
      </c>
      <c r="J8" s="93">
        <f t="shared" si="0"/>
        <v>40.416666666666664</v>
      </c>
      <c r="K8" s="93">
        <f t="shared" si="0"/>
        <v>40.416666666666664</v>
      </c>
    </row>
    <row r="9" spans="1:11" x14ac:dyDescent="0.2">
      <c r="A9" s="1" t="s">
        <v>122</v>
      </c>
      <c r="B9" s="27">
        <v>5</v>
      </c>
      <c r="C9" s="93">
        <f>$B$9</f>
        <v>5</v>
      </c>
      <c r="D9" s="93">
        <f t="shared" ref="D9:K9" si="1">$B$9</f>
        <v>5</v>
      </c>
      <c r="E9" s="93">
        <f t="shared" si="1"/>
        <v>5</v>
      </c>
      <c r="F9" s="93">
        <f t="shared" si="1"/>
        <v>5</v>
      </c>
      <c r="G9" s="93">
        <f t="shared" si="1"/>
        <v>5</v>
      </c>
      <c r="H9" s="93">
        <f t="shared" si="1"/>
        <v>5</v>
      </c>
      <c r="I9" s="93">
        <f t="shared" si="1"/>
        <v>5</v>
      </c>
      <c r="J9" s="93">
        <f t="shared" si="1"/>
        <v>5</v>
      </c>
      <c r="K9" s="93">
        <f t="shared" si="1"/>
        <v>5</v>
      </c>
    </row>
    <row r="10" spans="1:11" x14ac:dyDescent="0.2">
      <c r="A10" s="28" t="s">
        <v>78</v>
      </c>
      <c r="B10" s="28"/>
      <c r="C10" s="95">
        <f>SUM(C4:C9)</f>
        <v>3297.5866666666661</v>
      </c>
      <c r="D10" s="95">
        <f t="shared" ref="D10:K10" si="2">SUM(D4:D9)</f>
        <v>3227.8666666666663</v>
      </c>
      <c r="E10" s="95">
        <f t="shared" si="2"/>
        <v>2960.9866666666662</v>
      </c>
      <c r="F10" s="95">
        <f t="shared" si="2"/>
        <v>2911.9266666666663</v>
      </c>
      <c r="G10" s="95">
        <f t="shared" si="2"/>
        <v>2622.9766666666665</v>
      </c>
      <c r="H10" s="95">
        <f t="shared" si="2"/>
        <v>2443.4566666666665</v>
      </c>
      <c r="I10" s="95">
        <f t="shared" si="2"/>
        <v>2280.2066666666665</v>
      </c>
      <c r="J10" s="95">
        <f t="shared" si="2"/>
        <v>2128.8966666666665</v>
      </c>
      <c r="K10" s="95">
        <f t="shared" si="2"/>
        <v>2040.5666666666668</v>
      </c>
    </row>
    <row r="11" spans="1:11" x14ac:dyDescent="0.2">
      <c r="A11" s="1" t="s">
        <v>79</v>
      </c>
      <c r="B11" s="1"/>
      <c r="C11" s="96">
        <f>(C4+C5+C6+C7)/26*1/12</f>
        <v>10.423621794871794</v>
      </c>
      <c r="D11" s="96">
        <f t="shared" ref="D11:K11" si="3">(D4+D5+D6+D7)/26*1/12</f>
        <v>10.200160256410255</v>
      </c>
      <c r="E11" s="96">
        <f t="shared" si="3"/>
        <v>9.34477564102564</v>
      </c>
      <c r="F11" s="96">
        <f t="shared" si="3"/>
        <v>9.1875320512820497</v>
      </c>
      <c r="G11" s="96">
        <f t="shared" si="3"/>
        <v>8.2614102564102563</v>
      </c>
      <c r="H11" s="96">
        <f t="shared" si="3"/>
        <v>7.6860256410256405</v>
      </c>
      <c r="I11" s="96">
        <f t="shared" si="3"/>
        <v>7.1627884615384616</v>
      </c>
      <c r="J11" s="96">
        <f t="shared" si="3"/>
        <v>6.6778205128205128</v>
      </c>
      <c r="K11" s="96">
        <f t="shared" si="3"/>
        <v>6.3947115384615385</v>
      </c>
    </row>
    <row r="12" spans="1:11" s="55" customFormat="1" x14ac:dyDescent="0.2">
      <c r="A12" s="54" t="s">
        <v>80</v>
      </c>
      <c r="B12" s="54"/>
      <c r="C12" s="97">
        <f t="shared" ref="C12:K12" si="4">C11</f>
        <v>10.423621794871794</v>
      </c>
      <c r="D12" s="97">
        <f t="shared" si="4"/>
        <v>10.200160256410255</v>
      </c>
      <c r="E12" s="97">
        <f t="shared" si="4"/>
        <v>9.34477564102564</v>
      </c>
      <c r="F12" s="97">
        <f t="shared" si="4"/>
        <v>9.1875320512820497</v>
      </c>
      <c r="G12" s="97">
        <f t="shared" si="4"/>
        <v>8.2614102564102563</v>
      </c>
      <c r="H12" s="97">
        <f t="shared" si="4"/>
        <v>7.6860256410256405</v>
      </c>
      <c r="I12" s="97">
        <f t="shared" si="4"/>
        <v>7.1627884615384616</v>
      </c>
      <c r="J12" s="97">
        <f t="shared" si="4"/>
        <v>6.6778205128205128</v>
      </c>
      <c r="K12" s="97">
        <f t="shared" si="4"/>
        <v>6.3947115384615385</v>
      </c>
    </row>
    <row r="13" spans="1:11" s="55" customFormat="1" x14ac:dyDescent="0.2">
      <c r="A13" s="56" t="s">
        <v>81</v>
      </c>
      <c r="B13" s="56"/>
      <c r="C13" s="97">
        <f t="shared" ref="C13:K13" si="5">(C4+C5+C6+C7)/12</f>
        <v>271.01416666666665</v>
      </c>
      <c r="D13" s="97">
        <f t="shared" si="5"/>
        <v>265.20416666666665</v>
      </c>
      <c r="E13" s="97">
        <f t="shared" si="5"/>
        <v>242.96416666666664</v>
      </c>
      <c r="F13" s="97">
        <f t="shared" si="5"/>
        <v>238.8758333333333</v>
      </c>
      <c r="G13" s="97">
        <f t="shared" si="5"/>
        <v>214.79666666666665</v>
      </c>
      <c r="H13" s="97">
        <f t="shared" si="5"/>
        <v>199.83666666666667</v>
      </c>
      <c r="I13" s="97">
        <f t="shared" si="5"/>
        <v>186.23249999999999</v>
      </c>
      <c r="J13" s="97">
        <f t="shared" si="5"/>
        <v>173.62333333333333</v>
      </c>
      <c r="K13" s="97">
        <f t="shared" si="5"/>
        <v>166.26250000000002</v>
      </c>
    </row>
    <row r="14" spans="1:11" x14ac:dyDescent="0.2">
      <c r="A14" s="57" t="s">
        <v>82</v>
      </c>
      <c r="B14" s="57"/>
      <c r="C14" s="95">
        <f>C10+C12+C13+C11</f>
        <v>3589.4480769230768</v>
      </c>
      <c r="D14" s="95">
        <f t="shared" ref="D14:K14" si="6">D10+D12+D13+D11</f>
        <v>3513.4711538461529</v>
      </c>
      <c r="E14" s="95">
        <f t="shared" si="6"/>
        <v>3222.6403846153839</v>
      </c>
      <c r="F14" s="95">
        <f t="shared" si="6"/>
        <v>3169.1775641025642</v>
      </c>
      <c r="G14" s="95">
        <f t="shared" si="6"/>
        <v>2854.2961538461536</v>
      </c>
      <c r="H14" s="95">
        <f t="shared" si="6"/>
        <v>2658.665384615384</v>
      </c>
      <c r="I14" s="95">
        <f t="shared" si="6"/>
        <v>2480.7647435897438</v>
      </c>
      <c r="J14" s="95">
        <f t="shared" si="6"/>
        <v>2315.8756410256406</v>
      </c>
      <c r="K14" s="95">
        <f t="shared" si="6"/>
        <v>2219.6185897435898</v>
      </c>
    </row>
    <row r="15" spans="1:11" x14ac:dyDescent="0.2">
      <c r="A15" s="1" t="s">
        <v>123</v>
      </c>
      <c r="B15" s="89">
        <v>0.29360000000000003</v>
      </c>
      <c r="C15" s="93">
        <f>C14*$B$15</f>
        <v>1053.8619553846154</v>
      </c>
      <c r="D15" s="93">
        <f t="shared" ref="D15:K15" si="7">D14*$B$15</f>
        <v>1031.5551307692306</v>
      </c>
      <c r="E15" s="93">
        <f t="shared" si="7"/>
        <v>946.16721692307681</v>
      </c>
      <c r="F15" s="93">
        <f t="shared" si="7"/>
        <v>930.47053282051297</v>
      </c>
      <c r="G15" s="93">
        <f t="shared" si="7"/>
        <v>838.02135076923082</v>
      </c>
      <c r="H15" s="93">
        <f t="shared" si="7"/>
        <v>780.58415692307688</v>
      </c>
      <c r="I15" s="93">
        <f t="shared" si="7"/>
        <v>728.35252871794887</v>
      </c>
      <c r="J15" s="93">
        <f t="shared" si="7"/>
        <v>679.94108820512815</v>
      </c>
      <c r="K15" s="93">
        <f t="shared" si="7"/>
        <v>651.68001794871805</v>
      </c>
    </row>
    <row r="16" spans="1:11" x14ac:dyDescent="0.2">
      <c r="A16" s="1" t="s">
        <v>163</v>
      </c>
      <c r="B16" s="1">
        <f>4.75/1000</f>
        <v>4.7499999999999999E-3</v>
      </c>
      <c r="C16" s="93">
        <f>(C10)*$B$16</f>
        <v>15.663536666666664</v>
      </c>
      <c r="D16" s="93">
        <f t="shared" ref="D16:K16" si="8">(D10)*$B$16</f>
        <v>15.332366666666665</v>
      </c>
      <c r="E16" s="93">
        <f t="shared" si="8"/>
        <v>14.064686666666665</v>
      </c>
      <c r="F16" s="93">
        <f t="shared" si="8"/>
        <v>13.831651666666664</v>
      </c>
      <c r="G16" s="93">
        <f t="shared" si="8"/>
        <v>12.459139166666665</v>
      </c>
      <c r="H16" s="93">
        <f t="shared" si="8"/>
        <v>11.606419166666665</v>
      </c>
      <c r="I16" s="93">
        <f t="shared" si="8"/>
        <v>10.830981666666666</v>
      </c>
      <c r="J16" s="93">
        <f t="shared" si="8"/>
        <v>10.112259166666666</v>
      </c>
      <c r="K16" s="93">
        <f t="shared" si="8"/>
        <v>9.6926916666666667</v>
      </c>
    </row>
    <row r="17" spans="1:11" s="58" customFormat="1" x14ac:dyDescent="0.2">
      <c r="A17" s="28" t="s">
        <v>83</v>
      </c>
      <c r="B17" s="28"/>
      <c r="C17" s="95">
        <f>C15+C16</f>
        <v>1069.5254920512821</v>
      </c>
      <c r="D17" s="95">
        <f t="shared" ref="D17:K17" si="9">D15+D16</f>
        <v>1046.8874974358973</v>
      </c>
      <c r="E17" s="95">
        <f t="shared" si="9"/>
        <v>960.23190358974352</v>
      </c>
      <c r="F17" s="95">
        <f t="shared" si="9"/>
        <v>944.3021844871796</v>
      </c>
      <c r="G17" s="95">
        <f t="shared" si="9"/>
        <v>850.48048993589748</v>
      </c>
      <c r="H17" s="95">
        <f t="shared" si="9"/>
        <v>792.19057608974356</v>
      </c>
      <c r="I17" s="95">
        <f t="shared" si="9"/>
        <v>739.18351038461549</v>
      </c>
      <c r="J17" s="95">
        <f t="shared" si="9"/>
        <v>690.05334737179487</v>
      </c>
      <c r="K17" s="95">
        <f t="shared" si="9"/>
        <v>661.37270961538468</v>
      </c>
    </row>
    <row r="18" spans="1:11" x14ac:dyDescent="0.2">
      <c r="A18" s="1" t="s">
        <v>84</v>
      </c>
      <c r="B18" s="101">
        <v>13.5</v>
      </c>
      <c r="C18" s="93">
        <f>(C14-C9-C8)/$B$18</f>
        <v>262.52084520417856</v>
      </c>
      <c r="D18" s="93">
        <f t="shared" ref="D18:K18" si="10">(D14-D9-D8)/$B$18</f>
        <v>256.89292497625826</v>
      </c>
      <c r="E18" s="93">
        <f t="shared" si="10"/>
        <v>235.34990503323831</v>
      </c>
      <c r="F18" s="93">
        <f t="shared" si="10"/>
        <v>231.38969610636281</v>
      </c>
      <c r="G18" s="93">
        <f t="shared" si="10"/>
        <v>208.06514719848053</v>
      </c>
      <c r="H18" s="93">
        <f t="shared" si="10"/>
        <v>193.5739791073124</v>
      </c>
      <c r="I18" s="93">
        <f t="shared" si="10"/>
        <v>180.39615384615388</v>
      </c>
      <c r="J18" s="93">
        <f t="shared" si="10"/>
        <v>168.1821462488129</v>
      </c>
      <c r="K18" s="93">
        <f t="shared" si="10"/>
        <v>161.05199430199431</v>
      </c>
    </row>
    <row r="19" spans="1:11" x14ac:dyDescent="0.2">
      <c r="A19" s="1" t="s">
        <v>124</v>
      </c>
      <c r="B19" s="104">
        <v>1.8188599999999999E-2</v>
      </c>
      <c r="C19" s="93">
        <f>C18*$B$19</f>
        <v>4.7748866450807217</v>
      </c>
      <c r="D19" s="93">
        <f t="shared" ref="D19:K19" si="11">D18*$B$19</f>
        <v>4.6725226552231707</v>
      </c>
      <c r="E19" s="93">
        <f t="shared" si="11"/>
        <v>4.2806852826875579</v>
      </c>
      <c r="F19" s="93">
        <f t="shared" si="11"/>
        <v>4.2086546266001905</v>
      </c>
      <c r="G19" s="93">
        <f t="shared" si="11"/>
        <v>3.7844137363342827</v>
      </c>
      <c r="H19" s="93">
        <f t="shared" si="11"/>
        <v>3.5208396763912622</v>
      </c>
      <c r="I19" s="93">
        <f t="shared" si="11"/>
        <v>3.2811534838461545</v>
      </c>
      <c r="J19" s="93">
        <f t="shared" si="11"/>
        <v>3.0589977852611581</v>
      </c>
      <c r="K19" s="93">
        <f t="shared" si="11"/>
        <v>2.9293103035612535</v>
      </c>
    </row>
    <row r="20" spans="1:11" x14ac:dyDescent="0.2">
      <c r="A20" s="1" t="s">
        <v>85</v>
      </c>
      <c r="B20" s="102">
        <v>0.02</v>
      </c>
      <c r="C20" s="93">
        <f>(C14-C9-C8)*$B$20</f>
        <v>70.880628205128204</v>
      </c>
      <c r="D20" s="93">
        <f t="shared" ref="D20:K20" si="12">(D14-D9-D8)*$B$20</f>
        <v>69.36108974358973</v>
      </c>
      <c r="E20" s="93">
        <f t="shared" si="12"/>
        <v>63.544474358974348</v>
      </c>
      <c r="F20" s="93">
        <f t="shared" si="12"/>
        <v>62.475217948717955</v>
      </c>
      <c r="G20" s="93">
        <f t="shared" si="12"/>
        <v>56.177589743589742</v>
      </c>
      <c r="H20" s="93">
        <f t="shared" si="12"/>
        <v>52.264974358974349</v>
      </c>
      <c r="I20" s="93">
        <f t="shared" si="12"/>
        <v>48.706961538461549</v>
      </c>
      <c r="J20" s="93">
        <f t="shared" si="12"/>
        <v>45.409179487179479</v>
      </c>
      <c r="K20" s="93">
        <f t="shared" si="12"/>
        <v>43.484038461538468</v>
      </c>
    </row>
    <row r="21" spans="1:11" x14ac:dyDescent="0.2">
      <c r="A21" s="1" t="s">
        <v>126</v>
      </c>
      <c r="B21" s="27">
        <v>8</v>
      </c>
      <c r="C21" s="93">
        <f>$B$21</f>
        <v>8</v>
      </c>
      <c r="D21" s="93">
        <f t="shared" ref="D21:K21" si="13">$B$21</f>
        <v>8</v>
      </c>
      <c r="E21" s="93">
        <f t="shared" si="13"/>
        <v>8</v>
      </c>
      <c r="F21" s="93">
        <f t="shared" si="13"/>
        <v>8</v>
      </c>
      <c r="G21" s="93">
        <f t="shared" si="13"/>
        <v>8</v>
      </c>
      <c r="H21" s="93">
        <f t="shared" si="13"/>
        <v>8</v>
      </c>
      <c r="I21" s="93">
        <f t="shared" si="13"/>
        <v>8</v>
      </c>
      <c r="J21" s="93">
        <f t="shared" si="13"/>
        <v>8</v>
      </c>
      <c r="K21" s="93">
        <f t="shared" si="13"/>
        <v>8</v>
      </c>
    </row>
    <row r="22" spans="1:11" x14ac:dyDescent="0.2">
      <c r="A22" s="1" t="s">
        <v>125</v>
      </c>
      <c r="B22" s="103">
        <v>1.7999999999999999E-2</v>
      </c>
      <c r="C22" s="93">
        <f t="shared" ref="C22:K22" si="14">(C4+C5+C6+C7+C13)*1.8/100</f>
        <v>63.417315000000002</v>
      </c>
      <c r="D22" s="93">
        <f t="shared" si="14"/>
        <v>62.057774999999992</v>
      </c>
      <c r="E22" s="93">
        <f t="shared" si="14"/>
        <v>56.853614999999998</v>
      </c>
      <c r="F22" s="93">
        <f t="shared" si="14"/>
        <v>55.896944999999995</v>
      </c>
      <c r="G22" s="93">
        <f t="shared" si="14"/>
        <v>50.262419999999999</v>
      </c>
      <c r="H22" s="93">
        <f t="shared" si="14"/>
        <v>46.761780000000002</v>
      </c>
      <c r="I22" s="93">
        <f t="shared" si="14"/>
        <v>43.578405000000004</v>
      </c>
      <c r="J22" s="93">
        <f t="shared" si="14"/>
        <v>40.627860000000005</v>
      </c>
      <c r="K22" s="93">
        <f t="shared" si="14"/>
        <v>38.905425000000001</v>
      </c>
    </row>
    <row r="23" spans="1:11" x14ac:dyDescent="0.2">
      <c r="A23" s="1" t="s">
        <v>127</v>
      </c>
      <c r="B23" s="27">
        <v>16.670000000000002</v>
      </c>
      <c r="C23" s="93">
        <f>$B$23</f>
        <v>16.670000000000002</v>
      </c>
      <c r="D23" s="93">
        <f t="shared" ref="D23:K23" si="15">$B$23</f>
        <v>16.670000000000002</v>
      </c>
      <c r="E23" s="93">
        <f t="shared" si="15"/>
        <v>16.670000000000002</v>
      </c>
      <c r="F23" s="93">
        <f t="shared" si="15"/>
        <v>16.670000000000002</v>
      </c>
      <c r="G23" s="93">
        <f t="shared" si="15"/>
        <v>16.670000000000002</v>
      </c>
      <c r="H23" s="93">
        <f t="shared" si="15"/>
        <v>16.670000000000002</v>
      </c>
      <c r="I23" s="93">
        <f t="shared" si="15"/>
        <v>16.670000000000002</v>
      </c>
      <c r="J23" s="93">
        <f t="shared" si="15"/>
        <v>16.670000000000002</v>
      </c>
      <c r="K23" s="93">
        <f t="shared" si="15"/>
        <v>16.670000000000002</v>
      </c>
    </row>
    <row r="24" spans="1:11" s="58" customFormat="1" x14ac:dyDescent="0.2">
      <c r="A24" s="28" t="s">
        <v>86</v>
      </c>
      <c r="B24" s="28"/>
      <c r="C24" s="98">
        <f>C14+C17+C18+C22+C21+C23+C19+C20</f>
        <v>5085.2372440287472</v>
      </c>
      <c r="D24" s="98">
        <f t="shared" ref="D24:K24" si="16">D14+D17+D18+D22+D21+D23+D19+D20</f>
        <v>4978.0129636571228</v>
      </c>
      <c r="E24" s="98">
        <f t="shared" si="16"/>
        <v>4567.5709678800285</v>
      </c>
      <c r="F24" s="98">
        <f t="shared" si="16"/>
        <v>4492.1202622714245</v>
      </c>
      <c r="G24" s="98">
        <f t="shared" si="16"/>
        <v>4047.7362144604558</v>
      </c>
      <c r="H24" s="98">
        <f t="shared" si="16"/>
        <v>3771.6475338478058</v>
      </c>
      <c r="I24" s="98">
        <f t="shared" si="16"/>
        <v>3520.5809278428214</v>
      </c>
      <c r="J24" s="98">
        <f t="shared" si="16"/>
        <v>3287.8771719186889</v>
      </c>
      <c r="K24" s="98">
        <f t="shared" si="16"/>
        <v>3152.0320674260688</v>
      </c>
    </row>
    <row r="25" spans="1:11" x14ac:dyDescent="0.2">
      <c r="A25" s="1" t="s">
        <v>87</v>
      </c>
      <c r="B25" s="1"/>
      <c r="C25" s="98">
        <f>C24*12</f>
        <v>61022.846928344967</v>
      </c>
      <c r="D25" s="98">
        <f t="shared" ref="D25:J25" si="17">D24*12</f>
        <v>59736.155563885477</v>
      </c>
      <c r="E25" s="98">
        <f t="shared" si="17"/>
        <v>54810.851614560343</v>
      </c>
      <c r="F25" s="98">
        <f t="shared" si="17"/>
        <v>53905.443147257094</v>
      </c>
      <c r="G25" s="98">
        <f t="shared" si="17"/>
        <v>48572.83457352547</v>
      </c>
      <c r="H25" s="98">
        <f t="shared" si="17"/>
        <v>45259.770406173673</v>
      </c>
      <c r="I25" s="98">
        <f t="shared" si="17"/>
        <v>42246.971134113861</v>
      </c>
      <c r="J25" s="98">
        <f t="shared" si="17"/>
        <v>39454.52606302427</v>
      </c>
      <c r="K25" s="98">
        <f>K24*12</f>
        <v>37824.384809112824</v>
      </c>
    </row>
    <row r="26" spans="1:11" x14ac:dyDescent="0.2">
      <c r="A26" s="59" t="s">
        <v>88</v>
      </c>
      <c r="B26" s="59"/>
      <c r="C26" s="99">
        <f t="shared" ref="C26:K26" si="18">C25/$B40</f>
        <v>35.334595789429628</v>
      </c>
      <c r="D26" s="99">
        <f t="shared" si="18"/>
        <v>34.589551571444979</v>
      </c>
      <c r="E26" s="99">
        <f t="shared" si="18"/>
        <v>31.737609504667251</v>
      </c>
      <c r="F26" s="99">
        <f t="shared" si="18"/>
        <v>31.213342876234567</v>
      </c>
      <c r="G26" s="99">
        <f t="shared" si="18"/>
        <v>28.125555630298479</v>
      </c>
      <c r="H26" s="99">
        <f t="shared" si="18"/>
        <v>26.207162945091877</v>
      </c>
      <c r="I26" s="99">
        <f t="shared" si="18"/>
        <v>24.462635283215899</v>
      </c>
      <c r="J26" s="99">
        <f t="shared" si="18"/>
        <v>22.845701252474967</v>
      </c>
      <c r="K26" s="99">
        <f t="shared" si="18"/>
        <v>21.901786224153344</v>
      </c>
    </row>
    <row r="27" spans="1:11" x14ac:dyDescent="0.2">
      <c r="A27" s="28" t="s">
        <v>89</v>
      </c>
      <c r="B27" s="28"/>
      <c r="C27" s="98">
        <f>C26*8</f>
        <v>282.67676631543702</v>
      </c>
      <c r="D27" s="98">
        <f t="shared" ref="D27:K27" si="19">D26*8</f>
        <v>276.71641257155983</v>
      </c>
      <c r="E27" s="98">
        <f t="shared" si="19"/>
        <v>253.90087603733801</v>
      </c>
      <c r="F27" s="98">
        <f t="shared" si="19"/>
        <v>249.70674300987653</v>
      </c>
      <c r="G27" s="98">
        <f t="shared" si="19"/>
        <v>225.00444504238783</v>
      </c>
      <c r="H27" s="98">
        <f t="shared" si="19"/>
        <v>209.65730356073502</v>
      </c>
      <c r="I27" s="98">
        <f t="shared" si="19"/>
        <v>195.70108226572719</v>
      </c>
      <c r="J27" s="98">
        <f t="shared" si="19"/>
        <v>182.76561001979974</v>
      </c>
      <c r="K27" s="98">
        <f t="shared" si="19"/>
        <v>175.21428979322675</v>
      </c>
    </row>
    <row r="29" spans="1:11" x14ac:dyDescent="0.2">
      <c r="B29" s="60"/>
      <c r="C29" s="61"/>
      <c r="E29" s="61"/>
      <c r="F29" s="61"/>
      <c r="G29" s="61"/>
      <c r="H29" s="61"/>
      <c r="I29" s="61"/>
    </row>
    <row r="30" spans="1:11" x14ac:dyDescent="0.2">
      <c r="A30" s="62" t="s">
        <v>90</v>
      </c>
      <c r="B30" s="63" t="s">
        <v>91</v>
      </c>
    </row>
    <row r="31" spans="1:11" x14ac:dyDescent="0.2">
      <c r="A31" s="64" t="s">
        <v>115</v>
      </c>
      <c r="B31" s="84">
        <f>2088+8</f>
        <v>2096</v>
      </c>
      <c r="C31" s="4" t="s">
        <v>162</v>
      </c>
    </row>
    <row r="32" spans="1:11" x14ac:dyDescent="0.2">
      <c r="A32" s="65" t="s">
        <v>92</v>
      </c>
      <c r="B32" s="65"/>
      <c r="C32" s="55"/>
    </row>
    <row r="33" spans="1:2" x14ac:dyDescent="0.2">
      <c r="A33" s="66" t="s">
        <v>93</v>
      </c>
      <c r="B33" s="85">
        <v>160</v>
      </c>
    </row>
    <row r="34" spans="1:2" x14ac:dyDescent="0.2">
      <c r="A34" s="67" t="s">
        <v>94</v>
      </c>
      <c r="B34" s="86">
        <v>104</v>
      </c>
    </row>
    <row r="35" spans="1:2" x14ac:dyDescent="0.2">
      <c r="A35" s="67" t="s">
        <v>116</v>
      </c>
      <c r="B35" s="86">
        <v>64</v>
      </c>
    </row>
    <row r="36" spans="1:2" x14ac:dyDescent="0.2">
      <c r="A36" s="67" t="s">
        <v>95</v>
      </c>
      <c r="B36" s="86">
        <v>0</v>
      </c>
    </row>
    <row r="37" spans="1:2" x14ac:dyDescent="0.2">
      <c r="A37" s="67" t="s">
        <v>96</v>
      </c>
      <c r="B37" s="86">
        <v>25</v>
      </c>
    </row>
    <row r="38" spans="1:2" x14ac:dyDescent="0.2">
      <c r="A38" s="67" t="s">
        <v>97</v>
      </c>
      <c r="B38" s="86">
        <v>16</v>
      </c>
    </row>
    <row r="39" spans="1:2" x14ac:dyDescent="0.2">
      <c r="A39" s="62" t="s">
        <v>98</v>
      </c>
      <c r="B39" s="63">
        <f>SUM(B33:B38)</f>
        <v>369</v>
      </c>
    </row>
    <row r="40" spans="1:2" x14ac:dyDescent="0.2">
      <c r="A40" s="67" t="s">
        <v>99</v>
      </c>
      <c r="B40" s="86">
        <f>B31-B39</f>
        <v>1727</v>
      </c>
    </row>
    <row r="41" spans="1:2" x14ac:dyDescent="0.2">
      <c r="A41" s="67" t="s">
        <v>100</v>
      </c>
      <c r="B41" s="87">
        <f>B40/8</f>
        <v>215.875</v>
      </c>
    </row>
  </sheetData>
  <mergeCells count="1"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5418-788E-4B58-B8A3-2A89F75D6A5B}">
  <sheetPr>
    <tabColor theme="8"/>
  </sheetPr>
  <dimension ref="A1:F41"/>
  <sheetViews>
    <sheetView topLeftCell="A17" workbookViewId="0">
      <selection activeCell="F37" sqref="F37"/>
    </sheetView>
  </sheetViews>
  <sheetFormatPr baseColWidth="10" defaultColWidth="8.6640625" defaultRowHeight="14" x14ac:dyDescent="0.2"/>
  <cols>
    <col min="1" max="1" width="42.5" style="4" bestFit="1" customWidth="1"/>
    <col min="2" max="2" width="8.83203125" style="4" bestFit="1" customWidth="1"/>
    <col min="3" max="5" width="12.1640625" style="4" customWidth="1"/>
    <col min="6" max="6" width="12.5" style="4" customWidth="1"/>
    <col min="7" max="16384" width="8.6640625" style="4"/>
  </cols>
  <sheetData>
    <row r="1" spans="1:6" ht="39" customHeight="1" x14ac:dyDescent="0.2">
      <c r="A1" s="158" t="s">
        <v>72</v>
      </c>
      <c r="B1" s="158"/>
      <c r="C1" s="158"/>
      <c r="D1" s="158"/>
      <c r="E1" s="158"/>
      <c r="F1" s="158"/>
    </row>
    <row r="3" spans="1:6" x14ac:dyDescent="0.2">
      <c r="B3" s="68" t="s">
        <v>117</v>
      </c>
      <c r="C3" s="68" t="s">
        <v>68</v>
      </c>
      <c r="D3" s="68" t="s">
        <v>69</v>
      </c>
      <c r="E3" s="68" t="s">
        <v>71</v>
      </c>
      <c r="F3" s="68" t="s">
        <v>70</v>
      </c>
    </row>
    <row r="4" spans="1:6" x14ac:dyDescent="0.2">
      <c r="A4" s="1" t="s">
        <v>75</v>
      </c>
      <c r="B4" s="1"/>
      <c r="C4" s="93">
        <v>2300.75</v>
      </c>
      <c r="D4" s="93">
        <v>2145.87</v>
      </c>
      <c r="E4" s="93">
        <v>2003.23</v>
      </c>
      <c r="F4" s="93">
        <v>1920</v>
      </c>
    </row>
    <row r="5" spans="1:6" x14ac:dyDescent="0.2">
      <c r="A5" s="1" t="s">
        <v>76</v>
      </c>
      <c r="B5" s="1"/>
      <c r="C5" s="93"/>
      <c r="D5" s="93"/>
      <c r="E5" s="93"/>
      <c r="F5" s="93"/>
    </row>
    <row r="6" spans="1:6" x14ac:dyDescent="0.2">
      <c r="A6" s="1" t="s">
        <v>77</v>
      </c>
      <c r="B6" s="1"/>
      <c r="C6" s="93"/>
      <c r="D6" s="93"/>
      <c r="E6" s="93"/>
      <c r="F6" s="93"/>
    </row>
    <row r="7" spans="1:6" x14ac:dyDescent="0.2">
      <c r="A7" s="1" t="s">
        <v>118</v>
      </c>
      <c r="B7" s="101">
        <v>1</v>
      </c>
      <c r="C7" s="93">
        <f>32.43*B7</f>
        <v>32.43</v>
      </c>
      <c r="D7" s="93"/>
      <c r="E7" s="93"/>
      <c r="F7" s="93"/>
    </row>
    <row r="8" spans="1:6" x14ac:dyDescent="0.2">
      <c r="A8" s="1" t="s">
        <v>121</v>
      </c>
      <c r="B8" s="27">
        <v>40.416666666666664</v>
      </c>
      <c r="C8" s="93">
        <f>$B$8</f>
        <v>40.416666666666664</v>
      </c>
      <c r="D8" s="93">
        <f>$B$8</f>
        <v>40.416666666666664</v>
      </c>
      <c r="E8" s="93">
        <f>$B$8</f>
        <v>40.416666666666664</v>
      </c>
      <c r="F8" s="93">
        <f>$B$8</f>
        <v>40.416666666666664</v>
      </c>
    </row>
    <row r="9" spans="1:6" x14ac:dyDescent="0.2">
      <c r="A9" s="1" t="s">
        <v>122</v>
      </c>
      <c r="B9" s="27">
        <v>5</v>
      </c>
      <c r="C9" s="93">
        <f>$B$9</f>
        <v>5</v>
      </c>
      <c r="D9" s="93">
        <f>$B$9</f>
        <v>5</v>
      </c>
      <c r="E9" s="93">
        <f>$B$9</f>
        <v>5</v>
      </c>
      <c r="F9" s="93">
        <f>$B$9</f>
        <v>5</v>
      </c>
    </row>
    <row r="10" spans="1:6" x14ac:dyDescent="0.2">
      <c r="A10" s="28" t="s">
        <v>78</v>
      </c>
      <c r="B10" s="28"/>
      <c r="C10" s="95">
        <f>SUM(C4:C9)</f>
        <v>2378.5966666666664</v>
      </c>
      <c r="D10" s="95">
        <f>SUM(D4:D9)</f>
        <v>2191.2866666666664</v>
      </c>
      <c r="E10" s="95">
        <f>SUM(E4:E9)</f>
        <v>2048.6466666666665</v>
      </c>
      <c r="F10" s="95">
        <f>SUM(F4:F9)</f>
        <v>1965.4166666666667</v>
      </c>
    </row>
    <row r="11" spans="1:6" x14ac:dyDescent="0.2">
      <c r="A11" s="1" t="s">
        <v>79</v>
      </c>
      <c r="B11" s="1"/>
      <c r="C11" s="96">
        <f>(C4+C5+C6+C7)/26*1/12</f>
        <v>7.4781410256410252</v>
      </c>
      <c r="D11" s="96">
        <f>(D4+D5+D6+D7)/26*1/12</f>
        <v>6.8777884615384615</v>
      </c>
      <c r="E11" s="96">
        <f>(E4+E5+E6+E7)/26*1/12</f>
        <v>6.4206089743589745</v>
      </c>
      <c r="F11" s="96">
        <f>(F4+F5+F6+F7)/26*1/12</f>
        <v>6.1538461538461533</v>
      </c>
    </row>
    <row r="12" spans="1:6" s="55" customFormat="1" x14ac:dyDescent="0.2">
      <c r="A12" s="54" t="s">
        <v>80</v>
      </c>
      <c r="B12" s="54"/>
      <c r="C12" s="97">
        <f>C11</f>
        <v>7.4781410256410252</v>
      </c>
      <c r="D12" s="97">
        <f>D11</f>
        <v>6.8777884615384615</v>
      </c>
      <c r="E12" s="97">
        <f>E11</f>
        <v>6.4206089743589745</v>
      </c>
      <c r="F12" s="97">
        <f>F11</f>
        <v>6.1538461538461533</v>
      </c>
    </row>
    <row r="13" spans="1:6" s="55" customFormat="1" x14ac:dyDescent="0.2">
      <c r="A13" s="56" t="s">
        <v>81</v>
      </c>
      <c r="B13" s="56"/>
      <c r="C13" s="97">
        <f>(C4+C5+C6+C7)/12</f>
        <v>194.43166666666664</v>
      </c>
      <c r="D13" s="97">
        <f>(D4+D5+D6+D7)/12</f>
        <v>178.82249999999999</v>
      </c>
      <c r="E13" s="97">
        <f>(E4+E5+E6+E7)/12</f>
        <v>166.93583333333333</v>
      </c>
      <c r="F13" s="97">
        <f>(F4+F5+F6+F7)/12</f>
        <v>160</v>
      </c>
    </row>
    <row r="14" spans="1:6" x14ac:dyDescent="0.2">
      <c r="A14" s="57" t="s">
        <v>82</v>
      </c>
      <c r="B14" s="57"/>
      <c r="C14" s="95">
        <f>C10+C12+C13+C11</f>
        <v>2587.9846153846152</v>
      </c>
      <c r="D14" s="95">
        <f>D10+D12+D13+D11</f>
        <v>2383.8647435897428</v>
      </c>
      <c r="E14" s="95">
        <f>E10+E12+E13+E11</f>
        <v>2228.4237179487177</v>
      </c>
      <c r="F14" s="95">
        <f>F10+F12+F13+F11</f>
        <v>2137.7243589743589</v>
      </c>
    </row>
    <row r="15" spans="1:6" x14ac:dyDescent="0.2">
      <c r="A15" s="1" t="s">
        <v>123</v>
      </c>
      <c r="B15" s="89">
        <v>0.1</v>
      </c>
      <c r="C15" s="93">
        <f>C14*$B$15</f>
        <v>258.79846153846154</v>
      </c>
      <c r="D15" s="93">
        <f>D14*$B$15</f>
        <v>238.38647435897428</v>
      </c>
      <c r="E15" s="93">
        <f>E14*$B$15</f>
        <v>222.84237179487178</v>
      </c>
      <c r="F15" s="93">
        <f>F14*$B$15</f>
        <v>213.77243589743591</v>
      </c>
    </row>
    <row r="16" spans="1:6" x14ac:dyDescent="0.2">
      <c r="A16" s="1" t="s">
        <v>163</v>
      </c>
      <c r="B16" s="1">
        <f>4.75/1000</f>
        <v>4.7499999999999999E-3</v>
      </c>
      <c r="C16" s="93">
        <f>(C10)*$B$16</f>
        <v>11.298334166666665</v>
      </c>
      <c r="D16" s="93">
        <f>(D10)*$B$16</f>
        <v>10.408611666666665</v>
      </c>
      <c r="E16" s="93">
        <f>(E10)*$B$16</f>
        <v>9.731071666666665</v>
      </c>
      <c r="F16" s="93">
        <f>(F10)*$B$16</f>
        <v>9.3357291666666669</v>
      </c>
    </row>
    <row r="17" spans="1:6" s="58" customFormat="1" x14ac:dyDescent="0.2">
      <c r="A17" s="28" t="s">
        <v>83</v>
      </c>
      <c r="B17" s="28"/>
      <c r="C17" s="95">
        <f>C15+C16</f>
        <v>270.09679570512822</v>
      </c>
      <c r="D17" s="95">
        <f>D15+D16</f>
        <v>248.79508602564096</v>
      </c>
      <c r="E17" s="95">
        <f>E15+E16</f>
        <v>232.57344346153843</v>
      </c>
      <c r="F17" s="95">
        <f>F15+F16</f>
        <v>223.10816506410259</v>
      </c>
    </row>
    <row r="18" spans="1:6" x14ac:dyDescent="0.2">
      <c r="A18" s="1" t="s">
        <v>84</v>
      </c>
      <c r="B18" s="101">
        <v>13.5</v>
      </c>
      <c r="C18" s="93">
        <f>(C14-C9-C8)/$B$18</f>
        <v>188.33836657169991</v>
      </c>
      <c r="D18" s="93">
        <f>(D14-D9-D8)/$B$18</f>
        <v>173.21837606837602</v>
      </c>
      <c r="E18" s="93">
        <f>(E14-E9-E8)/$B$18</f>
        <v>161.70422602089269</v>
      </c>
      <c r="F18" s="93">
        <f>(F14-F9-F8)/$B$18</f>
        <v>154.98575498575499</v>
      </c>
    </row>
    <row r="19" spans="1:6" x14ac:dyDescent="0.2">
      <c r="A19" s="1" t="s">
        <v>124</v>
      </c>
      <c r="B19" s="104">
        <v>1.8188599999999999E-2</v>
      </c>
      <c r="C19" s="93">
        <f>C18*$B$19</f>
        <v>3.4256112142260209</v>
      </c>
      <c r="D19" s="93">
        <f>D18*$B$19</f>
        <v>3.150599754957264</v>
      </c>
      <c r="E19" s="93">
        <f>E18*$B$19</f>
        <v>2.9411734854036085</v>
      </c>
      <c r="F19" s="93">
        <f>F18*$B$19</f>
        <v>2.8189739031339029</v>
      </c>
    </row>
    <row r="20" spans="1:6" x14ac:dyDescent="0.2">
      <c r="A20" s="1" t="s">
        <v>85</v>
      </c>
      <c r="B20" s="102">
        <v>0</v>
      </c>
      <c r="C20" s="93">
        <f>(C14-C9-C8)*$B$20</f>
        <v>0</v>
      </c>
      <c r="D20" s="93">
        <f>(D14-D9-D8)*$B$20</f>
        <v>0</v>
      </c>
      <c r="E20" s="93">
        <f>(E14-E9-E8)*$B$20</f>
        <v>0</v>
      </c>
      <c r="F20" s="93">
        <f>(F14-F9-F8)*$B$20</f>
        <v>0</v>
      </c>
    </row>
    <row r="21" spans="1:6" x14ac:dyDescent="0.2">
      <c r="A21" s="1" t="s">
        <v>126</v>
      </c>
      <c r="B21" s="27">
        <v>8</v>
      </c>
      <c r="C21" s="93">
        <f>$B$21</f>
        <v>8</v>
      </c>
      <c r="D21" s="93">
        <f>$B$21</f>
        <v>8</v>
      </c>
      <c r="E21" s="93">
        <f>$B$21</f>
        <v>8</v>
      </c>
      <c r="F21" s="93">
        <f>$B$21</f>
        <v>8</v>
      </c>
    </row>
    <row r="22" spans="1:6" x14ac:dyDescent="0.2">
      <c r="A22" s="1" t="s">
        <v>125</v>
      </c>
      <c r="B22" s="103">
        <v>1.7999999999999999E-2</v>
      </c>
      <c r="C22" s="93">
        <f>(C4+C5+C6+C7+C13)*1.8/100</f>
        <v>45.497010000000003</v>
      </c>
      <c r="D22" s="93">
        <f>(D4+D5+D6+D7+D13)*1.8/100</f>
        <v>41.844465</v>
      </c>
      <c r="E22" s="93">
        <f>(E4+E5+E6+E7+E13)*1.8/100</f>
        <v>39.062985000000005</v>
      </c>
      <c r="F22" s="93">
        <f>(F4+F5+F6+F7+F13)*1.8/100</f>
        <v>37.44</v>
      </c>
    </row>
    <row r="23" spans="1:6" x14ac:dyDescent="0.2">
      <c r="A23" s="1" t="s">
        <v>127</v>
      </c>
      <c r="B23" s="27">
        <v>16.670000000000002</v>
      </c>
      <c r="C23" s="93">
        <f>$B$23</f>
        <v>16.670000000000002</v>
      </c>
      <c r="D23" s="93">
        <f>$B$23</f>
        <v>16.670000000000002</v>
      </c>
      <c r="E23" s="93">
        <f>$B$23</f>
        <v>16.670000000000002</v>
      </c>
      <c r="F23" s="93">
        <f>$B$23</f>
        <v>16.670000000000002</v>
      </c>
    </row>
    <row r="24" spans="1:6" s="58" customFormat="1" x14ac:dyDescent="0.2">
      <c r="A24" s="28" t="s">
        <v>86</v>
      </c>
      <c r="B24" s="28"/>
      <c r="C24" s="98">
        <f>C14+C17+C18+C22+C21+C23+C19+C20</f>
        <v>3120.01239887567</v>
      </c>
      <c r="D24" s="98">
        <f>D14+D17+D18+D22+D21+D23+D19+D20</f>
        <v>2875.5432704387172</v>
      </c>
      <c r="E24" s="98">
        <f>E14+E17+E18+E22+E21+E23+E19+E20</f>
        <v>2689.3755459165523</v>
      </c>
      <c r="F24" s="98">
        <f>F14+F17+F18+F22+F21+F23+F19+F20</f>
        <v>2580.7472529273509</v>
      </c>
    </row>
    <row r="25" spans="1:6" x14ac:dyDescent="0.2">
      <c r="A25" s="1" t="s">
        <v>87</v>
      </c>
      <c r="B25" s="1"/>
      <c r="C25" s="98">
        <f>C24*12</f>
        <v>37440.148786508042</v>
      </c>
      <c r="D25" s="98">
        <f>D24*12</f>
        <v>34506.519245264608</v>
      </c>
      <c r="E25" s="98">
        <f>E24*12</f>
        <v>32272.506550998627</v>
      </c>
      <c r="F25" s="98">
        <f>F24*12</f>
        <v>30968.967035128211</v>
      </c>
    </row>
    <row r="26" spans="1:6" x14ac:dyDescent="0.2">
      <c r="A26" s="59" t="s">
        <v>88</v>
      </c>
      <c r="B26" s="59"/>
      <c r="C26" s="99">
        <f>C25/$B40</f>
        <v>21.679298660398402</v>
      </c>
      <c r="D26" s="99">
        <f>D25/$B40</f>
        <v>19.980613344102263</v>
      </c>
      <c r="E26" s="99">
        <f>E25/$B40</f>
        <v>18.687033324260931</v>
      </c>
      <c r="F26" s="99">
        <f>F25/$B40</f>
        <v>17.932233372975222</v>
      </c>
    </row>
    <row r="27" spans="1:6" x14ac:dyDescent="0.2">
      <c r="A27" s="28" t="s">
        <v>89</v>
      </c>
      <c r="B27" s="28"/>
      <c r="C27" s="98">
        <f>C26*8</f>
        <v>173.43438928318722</v>
      </c>
      <c r="D27" s="98">
        <f>D26*8</f>
        <v>159.8449067528181</v>
      </c>
      <c r="E27" s="98">
        <f>E26*8</f>
        <v>149.49626659408744</v>
      </c>
      <c r="F27" s="98">
        <f>F26*8</f>
        <v>143.45786698380178</v>
      </c>
    </row>
    <row r="29" spans="1:6" x14ac:dyDescent="0.2">
      <c r="B29" s="60"/>
      <c r="C29" s="61"/>
      <c r="D29" s="61"/>
    </row>
    <row r="30" spans="1:6" x14ac:dyDescent="0.2">
      <c r="A30" s="62" t="s">
        <v>90</v>
      </c>
      <c r="B30" s="63" t="s">
        <v>91</v>
      </c>
    </row>
    <row r="31" spans="1:6" x14ac:dyDescent="0.2">
      <c r="A31" s="64" t="s">
        <v>115</v>
      </c>
      <c r="B31" s="84">
        <f>2088+8</f>
        <v>2096</v>
      </c>
    </row>
    <row r="32" spans="1:6" x14ac:dyDescent="0.2">
      <c r="A32" s="65" t="s">
        <v>92</v>
      </c>
      <c r="B32" s="65"/>
    </row>
    <row r="33" spans="1:2" x14ac:dyDescent="0.2">
      <c r="A33" s="66" t="s">
        <v>93</v>
      </c>
      <c r="B33" s="85">
        <v>160</v>
      </c>
    </row>
    <row r="34" spans="1:2" x14ac:dyDescent="0.2">
      <c r="A34" s="67" t="s">
        <v>94</v>
      </c>
      <c r="B34" s="86">
        <v>104</v>
      </c>
    </row>
    <row r="35" spans="1:2" x14ac:dyDescent="0.2">
      <c r="A35" s="67" t="s">
        <v>116</v>
      </c>
      <c r="B35" s="86">
        <v>64</v>
      </c>
    </row>
    <row r="36" spans="1:2" x14ac:dyDescent="0.2">
      <c r="A36" s="67" t="s">
        <v>95</v>
      </c>
      <c r="B36" s="86">
        <v>0</v>
      </c>
    </row>
    <row r="37" spans="1:2" x14ac:dyDescent="0.2">
      <c r="A37" s="67" t="s">
        <v>96</v>
      </c>
      <c r="B37" s="86">
        <v>25</v>
      </c>
    </row>
    <row r="38" spans="1:2" x14ac:dyDescent="0.2">
      <c r="A38" s="67" t="s">
        <v>97</v>
      </c>
      <c r="B38" s="86">
        <v>16</v>
      </c>
    </row>
    <row r="39" spans="1:2" x14ac:dyDescent="0.2">
      <c r="A39" s="62" t="s">
        <v>98</v>
      </c>
      <c r="B39" s="63">
        <f>SUM(B33:B38)</f>
        <v>369</v>
      </c>
    </row>
    <row r="40" spans="1:2" x14ac:dyDescent="0.2">
      <c r="A40" s="67" t="s">
        <v>99</v>
      </c>
      <c r="B40" s="86">
        <f>B31-B39</f>
        <v>1727</v>
      </c>
    </row>
    <row r="41" spans="1:2" x14ac:dyDescent="0.2">
      <c r="A41" s="67" t="s">
        <v>100</v>
      </c>
      <c r="B41" s="87">
        <f>B40/8</f>
        <v>215.875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3D66-2C6D-4B35-9205-BDBF222D3CB0}">
  <dimension ref="A1:E32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0.1640625" bestFit="1" customWidth="1"/>
    <col min="2" max="2" width="65.6640625" bestFit="1" customWidth="1"/>
    <col min="3" max="3" width="60.1640625" bestFit="1" customWidth="1"/>
  </cols>
  <sheetData>
    <row r="1" spans="1:5" x14ac:dyDescent="0.2">
      <c r="A1" s="160" t="s">
        <v>128</v>
      </c>
      <c r="B1" s="160"/>
      <c r="C1" s="160"/>
    </row>
    <row r="3" spans="1:5" x14ac:dyDescent="0.2">
      <c r="A3" s="161" t="s">
        <v>129</v>
      </c>
      <c r="B3" s="161"/>
      <c r="C3" s="105">
        <f>SUM(C4:C5)</f>
        <v>5610.0822432071664</v>
      </c>
      <c r="D3" s="106">
        <f>C3/C24</f>
        <v>0.14681427276482265</v>
      </c>
    </row>
    <row r="4" spans="1:5" x14ac:dyDescent="0.2">
      <c r="A4" s="90"/>
      <c r="B4" s="90" t="s">
        <v>130</v>
      </c>
      <c r="C4" s="107">
        <f>CCNL!I27*20</f>
        <v>3914.021645314544</v>
      </c>
      <c r="E4" t="s">
        <v>170</v>
      </c>
    </row>
    <row r="5" spans="1:5" x14ac:dyDescent="0.2">
      <c r="A5" s="90"/>
      <c r="B5" s="90" t="s">
        <v>131</v>
      </c>
      <c r="C5" s="107">
        <f>(4*6*CCNL!C26)*2</f>
        <v>1696.0605978926221</v>
      </c>
      <c r="E5" t="s">
        <v>171</v>
      </c>
    </row>
    <row r="6" spans="1:5" x14ac:dyDescent="0.2">
      <c r="A6" s="161" t="s">
        <v>132</v>
      </c>
      <c r="B6" s="161"/>
      <c r="C6" s="105">
        <f>SUM(C7:C9)</f>
        <v>9448</v>
      </c>
      <c r="D6" s="106">
        <f>C6/C24</f>
        <v>0.24725149987980702</v>
      </c>
    </row>
    <row r="7" spans="1:5" x14ac:dyDescent="0.2">
      <c r="A7" s="90"/>
      <c r="B7" s="90" t="s">
        <v>133</v>
      </c>
      <c r="C7" s="107">
        <f>C32*16</f>
        <v>8608</v>
      </c>
      <c r="E7" t="s">
        <v>172</v>
      </c>
    </row>
    <row r="8" spans="1:5" x14ac:dyDescent="0.2">
      <c r="A8" s="90"/>
      <c r="B8" s="90" t="s">
        <v>134</v>
      </c>
      <c r="C8" s="107">
        <f>C31*300/C27</f>
        <v>720</v>
      </c>
      <c r="E8" t="s">
        <v>164</v>
      </c>
    </row>
    <row r="9" spans="1:5" x14ac:dyDescent="0.2">
      <c r="A9" s="90"/>
      <c r="B9" s="90" t="s">
        <v>135</v>
      </c>
      <c r="C9" s="107">
        <f>300*C30/C27</f>
        <v>120</v>
      </c>
      <c r="E9" t="s">
        <v>165</v>
      </c>
    </row>
    <row r="10" spans="1:5" x14ac:dyDescent="0.2">
      <c r="A10" s="161" t="s">
        <v>136</v>
      </c>
      <c r="B10" s="161"/>
      <c r="C10" s="105">
        <f>SUM(C11:C12)</f>
        <v>8380</v>
      </c>
      <c r="D10" s="106">
        <f>C10/C24</f>
        <v>0.21930224057925307</v>
      </c>
    </row>
    <row r="11" spans="1:5" x14ac:dyDescent="0.2">
      <c r="A11" s="90"/>
      <c r="B11" s="90" t="s">
        <v>137</v>
      </c>
      <c r="C11" s="107">
        <v>3000</v>
      </c>
      <c r="E11" t="s">
        <v>138</v>
      </c>
    </row>
    <row r="12" spans="1:5" x14ac:dyDescent="0.2">
      <c r="A12" s="90"/>
      <c r="B12" s="90" t="s">
        <v>139</v>
      </c>
      <c r="C12" s="107">
        <f>(C32/5*50)</f>
        <v>5380</v>
      </c>
      <c r="E12" t="s">
        <v>173</v>
      </c>
    </row>
    <row r="13" spans="1:5" x14ac:dyDescent="0.2">
      <c r="A13" s="161" t="s">
        <v>140</v>
      </c>
      <c r="B13" s="161"/>
      <c r="C13" s="105">
        <f>SUM(C14:C18)</f>
        <v>1860</v>
      </c>
      <c r="D13" s="106">
        <f>C13/C24</f>
        <v>4.8675676309953543E-2</v>
      </c>
    </row>
    <row r="14" spans="1:5" x14ac:dyDescent="0.2">
      <c r="A14" s="90"/>
      <c r="B14" s="90" t="s">
        <v>141</v>
      </c>
      <c r="C14" s="107">
        <v>500</v>
      </c>
      <c r="E14" t="s">
        <v>142</v>
      </c>
    </row>
    <row r="15" spans="1:5" x14ac:dyDescent="0.2">
      <c r="A15" s="90"/>
      <c r="B15" s="90" t="s">
        <v>143</v>
      </c>
      <c r="C15" s="107">
        <f>300*C28/C27</f>
        <v>480</v>
      </c>
      <c r="E15" t="s">
        <v>166</v>
      </c>
    </row>
    <row r="16" spans="1:5" x14ac:dyDescent="0.2">
      <c r="A16" s="90"/>
      <c r="B16" s="90" t="s">
        <v>144</v>
      </c>
      <c r="C16" s="107">
        <v>500</v>
      </c>
      <c r="E16" t="s">
        <v>145</v>
      </c>
    </row>
    <row r="17" spans="1:5" x14ac:dyDescent="0.2">
      <c r="A17" s="90"/>
      <c r="B17" s="90" t="s">
        <v>146</v>
      </c>
      <c r="C17" s="107">
        <v>200</v>
      </c>
      <c r="E17" t="s">
        <v>145</v>
      </c>
    </row>
    <row r="18" spans="1:5" x14ac:dyDescent="0.2">
      <c r="A18" s="90"/>
      <c r="B18" s="90" t="s">
        <v>147</v>
      </c>
      <c r="C18" s="107">
        <f>300*C29/C27</f>
        <v>180</v>
      </c>
      <c r="E18" t="s">
        <v>167</v>
      </c>
    </row>
    <row r="19" spans="1:5" x14ac:dyDescent="0.2">
      <c r="A19" s="161" t="s">
        <v>148</v>
      </c>
      <c r="B19" s="161"/>
      <c r="C19" s="105">
        <f>SUM(C20:C21)</f>
        <v>3914.021645314544</v>
      </c>
      <c r="D19" s="106">
        <f>C19/C24</f>
        <v>0.10242884445025943</v>
      </c>
    </row>
    <row r="20" spans="1:5" x14ac:dyDescent="0.2">
      <c r="A20" s="90"/>
      <c r="B20" s="90" t="s">
        <v>149</v>
      </c>
      <c r="C20" s="107">
        <f>CCNL!I27*10</f>
        <v>1957.010822657272</v>
      </c>
      <c r="E20" t="s">
        <v>168</v>
      </c>
    </row>
    <row r="21" spans="1:5" x14ac:dyDescent="0.2">
      <c r="A21" s="90"/>
      <c r="B21" s="90" t="s">
        <v>150</v>
      </c>
      <c r="C21" s="107">
        <f>CCNL!I27*10</f>
        <v>1957.010822657272</v>
      </c>
      <c r="E21" t="s">
        <v>169</v>
      </c>
    </row>
    <row r="22" spans="1:5" x14ac:dyDescent="0.2">
      <c r="A22" s="161" t="s">
        <v>151</v>
      </c>
      <c r="B22" s="161"/>
      <c r="C22" s="105">
        <f>C23</f>
        <v>9000</v>
      </c>
      <c r="D22" s="106">
        <f>C22/C24</f>
        <v>0.23552746601590424</v>
      </c>
    </row>
    <row r="23" spans="1:5" x14ac:dyDescent="0.2">
      <c r="A23" s="108"/>
      <c r="B23" s="108" t="s">
        <v>174</v>
      </c>
      <c r="C23" s="109">
        <v>9000</v>
      </c>
      <c r="E23" t="s">
        <v>152</v>
      </c>
    </row>
    <row r="24" spans="1:5" x14ac:dyDescent="0.2">
      <c r="A24" s="159" t="s">
        <v>153</v>
      </c>
      <c r="B24" s="159"/>
      <c r="C24" s="111">
        <f>C3+C6+C10+C13+C19+C22</f>
        <v>38212.103888521713</v>
      </c>
    </row>
    <row r="25" spans="1:5" x14ac:dyDescent="0.2">
      <c r="A25" s="159" t="s">
        <v>154</v>
      </c>
      <c r="B25" s="159"/>
      <c r="C25" s="111">
        <f>C26/220</f>
        <v>0.32284643366442811</v>
      </c>
      <c r="E25" s="100"/>
    </row>
    <row r="26" spans="1:5" x14ac:dyDescent="0.2">
      <c r="A26" s="159" t="s">
        <v>155</v>
      </c>
      <c r="B26" s="159"/>
      <c r="C26" s="111">
        <f>C24/C32</f>
        <v>71.026215406174188</v>
      </c>
      <c r="E26" s="112"/>
    </row>
    <row r="27" spans="1:5" x14ac:dyDescent="0.2">
      <c r="A27" s="110"/>
      <c r="B27" s="110" t="s">
        <v>156</v>
      </c>
      <c r="C27" s="113">
        <v>5</v>
      </c>
      <c r="E27" s="112"/>
    </row>
    <row r="28" spans="1:5" x14ac:dyDescent="0.2">
      <c r="A28" s="110"/>
      <c r="B28" s="110" t="s">
        <v>157</v>
      </c>
      <c r="C28" s="113">
        <v>8</v>
      </c>
      <c r="E28" s="112"/>
    </row>
    <row r="29" spans="1:5" x14ac:dyDescent="0.2">
      <c r="A29" s="110"/>
      <c r="B29" s="110" t="s">
        <v>158</v>
      </c>
      <c r="C29" s="113">
        <v>3</v>
      </c>
      <c r="E29" s="112"/>
    </row>
    <row r="30" spans="1:5" x14ac:dyDescent="0.2">
      <c r="A30" s="110"/>
      <c r="B30" s="110" t="s">
        <v>159</v>
      </c>
      <c r="C30" s="113">
        <v>2</v>
      </c>
      <c r="E30" s="112"/>
    </row>
    <row r="31" spans="1:5" x14ac:dyDescent="0.2">
      <c r="A31" s="159" t="s">
        <v>160</v>
      </c>
      <c r="B31" s="159"/>
      <c r="C31" s="113">
        <v>12</v>
      </c>
      <c r="E31" s="112"/>
    </row>
    <row r="32" spans="1:5" x14ac:dyDescent="0.2">
      <c r="A32" s="159" t="s">
        <v>161</v>
      </c>
      <c r="B32" s="159"/>
      <c r="C32" s="113">
        <v>538</v>
      </c>
      <c r="E32" s="112"/>
    </row>
  </sheetData>
  <mergeCells count="12">
    <mergeCell ref="A32:B32"/>
    <mergeCell ref="A1:C1"/>
    <mergeCell ref="A3:B3"/>
    <mergeCell ref="A6:B6"/>
    <mergeCell ref="A10:B10"/>
    <mergeCell ref="A13:B13"/>
    <mergeCell ref="A19:B19"/>
    <mergeCell ref="A22:B22"/>
    <mergeCell ref="A24:B24"/>
    <mergeCell ref="A25:B25"/>
    <mergeCell ref="A26:B26"/>
    <mergeCell ref="A31:B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E0F9-7101-45CB-BC2D-510D4E8D9FD2}">
  <dimension ref="A1:H11"/>
  <sheetViews>
    <sheetView zoomScale="150" zoomScaleNormal="150" workbookViewId="0">
      <selection activeCell="E2" sqref="E2"/>
    </sheetView>
  </sheetViews>
  <sheetFormatPr baseColWidth="10" defaultColWidth="8.83203125" defaultRowHeight="15" x14ac:dyDescent="0.2"/>
  <cols>
    <col min="1" max="1" width="50.33203125" bestFit="1" customWidth="1"/>
    <col min="2" max="2" width="11" bestFit="1" customWidth="1"/>
    <col min="3" max="3" width="8.83203125" customWidth="1"/>
    <col min="4" max="4" width="11.83203125" customWidth="1"/>
    <col min="5" max="5" width="12" customWidth="1"/>
    <col min="6" max="6" width="14.33203125" customWidth="1"/>
    <col min="7" max="7" width="11.33203125" bestFit="1" customWidth="1"/>
    <col min="8" max="8" width="12.1640625" bestFit="1" customWidth="1"/>
  </cols>
  <sheetData>
    <row r="1" spans="1:8" x14ac:dyDescent="0.2">
      <c r="A1" s="116" t="s">
        <v>178</v>
      </c>
      <c r="B1" s="116" t="s">
        <v>180</v>
      </c>
      <c r="C1" s="116" t="s">
        <v>104</v>
      </c>
      <c r="D1" s="116" t="s">
        <v>196</v>
      </c>
      <c r="E1" s="135" t="s">
        <v>197</v>
      </c>
      <c r="G1" s="147" t="s">
        <v>295</v>
      </c>
      <c r="H1" s="147" t="s">
        <v>296</v>
      </c>
    </row>
    <row r="2" spans="1:8" x14ac:dyDescent="0.2">
      <c r="A2" s="117" t="s">
        <v>326</v>
      </c>
      <c r="B2" s="118" t="s">
        <v>245</v>
      </c>
      <c r="C2" s="118">
        <v>24</v>
      </c>
      <c r="D2" s="141">
        <v>0</v>
      </c>
      <c r="E2" s="119">
        <f>D2*C2</f>
        <v>0</v>
      </c>
      <c r="G2" s="145">
        <f>E3+E4+E6+E8</f>
        <v>34800</v>
      </c>
      <c r="H2" s="145">
        <f>E2+E5+E7+E9</f>
        <v>30620</v>
      </c>
    </row>
    <row r="3" spans="1:8" x14ac:dyDescent="0.2">
      <c r="A3" s="117" t="s">
        <v>327</v>
      </c>
      <c r="B3" s="146" t="s">
        <v>328</v>
      </c>
      <c r="C3" s="118">
        <v>800</v>
      </c>
      <c r="D3" s="141">
        <v>0</v>
      </c>
      <c r="E3" s="119">
        <f t="shared" ref="E3:E9" si="0">D3*C3</f>
        <v>0</v>
      </c>
      <c r="F3" s="145"/>
    </row>
    <row r="4" spans="1:8" x14ac:dyDescent="0.2">
      <c r="A4" s="117" t="s">
        <v>329</v>
      </c>
      <c r="B4" s="146">
        <v>0</v>
      </c>
      <c r="C4" s="118">
        <v>0</v>
      </c>
      <c r="D4" s="141">
        <v>0</v>
      </c>
      <c r="E4" s="119">
        <f t="shared" si="0"/>
        <v>0</v>
      </c>
      <c r="F4" s="145"/>
      <c r="G4" s="145">
        <f>G2/20</f>
        <v>1740</v>
      </c>
    </row>
    <row r="5" spans="1:8" x14ac:dyDescent="0.2">
      <c r="A5" s="117" t="s">
        <v>240</v>
      </c>
      <c r="B5" s="118" t="s">
        <v>244</v>
      </c>
      <c r="C5" s="118">
        <v>66</v>
      </c>
      <c r="D5" s="141">
        <v>220</v>
      </c>
      <c r="E5" s="119">
        <f t="shared" si="0"/>
        <v>14520</v>
      </c>
      <c r="G5" t="s">
        <v>297</v>
      </c>
    </row>
    <row r="6" spans="1:8" x14ac:dyDescent="0.2">
      <c r="A6" s="117" t="s">
        <v>224</v>
      </c>
      <c r="B6" s="146" t="s">
        <v>245</v>
      </c>
      <c r="C6" s="118">
        <v>24</v>
      </c>
      <c r="D6" s="141">
        <v>1200</v>
      </c>
      <c r="E6" s="119">
        <f t="shared" si="0"/>
        <v>28800</v>
      </c>
      <c r="F6" s="145"/>
      <c r="G6" t="s">
        <v>298</v>
      </c>
    </row>
    <row r="7" spans="1:8" x14ac:dyDescent="0.2">
      <c r="A7" s="117" t="s">
        <v>241</v>
      </c>
      <c r="B7" s="118" t="s">
        <v>179</v>
      </c>
      <c r="C7" s="118">
        <v>1</v>
      </c>
      <c r="D7" s="141">
        <v>2100</v>
      </c>
      <c r="E7" s="119">
        <f t="shared" si="0"/>
        <v>2100</v>
      </c>
    </row>
    <row r="8" spans="1:8" x14ac:dyDescent="0.2">
      <c r="A8" s="117" t="s">
        <v>242</v>
      </c>
      <c r="B8" s="146" t="s">
        <v>245</v>
      </c>
      <c r="C8" s="118">
        <v>24</v>
      </c>
      <c r="D8" s="141">
        <v>250</v>
      </c>
      <c r="E8" s="119">
        <f t="shared" si="0"/>
        <v>6000</v>
      </c>
      <c r="F8" s="145"/>
    </row>
    <row r="9" spans="1:8" x14ac:dyDescent="0.2">
      <c r="A9" s="117" t="s">
        <v>243</v>
      </c>
      <c r="B9" s="118" t="s">
        <v>179</v>
      </c>
      <c r="C9" s="118">
        <v>1</v>
      </c>
      <c r="D9" s="141">
        <v>14000</v>
      </c>
      <c r="E9" s="119">
        <f t="shared" si="0"/>
        <v>14000</v>
      </c>
    </row>
    <row r="10" spans="1:8" x14ac:dyDescent="0.2">
      <c r="A10" s="120"/>
      <c r="B10" s="120"/>
      <c r="C10" s="120"/>
      <c r="E10" s="127">
        <f>SUM(E2:E9)</f>
        <v>65420</v>
      </c>
    </row>
    <row r="11" spans="1:8" x14ac:dyDescent="0.2">
      <c r="A11" s="120"/>
      <c r="B11" s="120"/>
      <c r="C11" s="12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"/>
  <sheetViews>
    <sheetView workbookViewId="0">
      <pane ySplit="2" topLeftCell="A3" activePane="bottomLeft" state="frozen"/>
      <selection pane="bottomLeft" activeCell="F4" sqref="F4"/>
    </sheetView>
  </sheetViews>
  <sheetFormatPr baseColWidth="10" defaultColWidth="35" defaultRowHeight="15" x14ac:dyDescent="0.2"/>
  <sheetData>
    <row r="1" spans="1:12" ht="17" x14ac:dyDescent="0.2">
      <c r="A1" s="150" t="s">
        <v>330</v>
      </c>
    </row>
    <row r="2" spans="1:12" ht="16" x14ac:dyDescent="0.2">
      <c r="A2" s="149" t="s">
        <v>331</v>
      </c>
      <c r="B2" s="149" t="s">
        <v>332</v>
      </c>
      <c r="C2" s="149" t="s">
        <v>333</v>
      </c>
      <c r="D2" s="149" t="s">
        <v>334</v>
      </c>
      <c r="E2" s="149" t="s">
        <v>335</v>
      </c>
      <c r="F2" s="149" t="s">
        <v>336</v>
      </c>
      <c r="G2" s="149" t="s">
        <v>337</v>
      </c>
      <c r="H2" s="149" t="s">
        <v>338</v>
      </c>
      <c r="I2" s="149" t="s">
        <v>339</v>
      </c>
      <c r="J2" s="149" t="s">
        <v>340</v>
      </c>
      <c r="K2" s="149" t="s">
        <v>341</v>
      </c>
      <c r="L2" s="149" t="s">
        <v>342</v>
      </c>
    </row>
    <row r="3" spans="1:12" ht="112" x14ac:dyDescent="0.2">
      <c r="A3" s="148" t="s">
        <v>343</v>
      </c>
      <c r="B3" s="148">
        <v>1</v>
      </c>
      <c r="C3" s="148" t="s">
        <v>344</v>
      </c>
      <c r="D3" s="148" t="s">
        <v>345</v>
      </c>
      <c r="F3" s="148" t="s">
        <v>346</v>
      </c>
      <c r="I3" s="148" t="s">
        <v>228</v>
      </c>
      <c r="J3" s="148" t="s">
        <v>66</v>
      </c>
      <c r="K3" s="148" t="str">
        <f ca="1">IFERROR(_xludf.XLOOKUP(J3,CCNL!$C$3:$K$3,CCNL!$C$27:$K$27),"")</f>
        <v/>
      </c>
      <c r="L3" s="148"/>
    </row>
    <row r="4" spans="1:12" ht="128" x14ac:dyDescent="0.2">
      <c r="A4" s="148" t="s">
        <v>348</v>
      </c>
      <c r="C4" s="148" t="s">
        <v>344</v>
      </c>
      <c r="D4" s="148" t="s">
        <v>349</v>
      </c>
      <c r="F4" s="148" t="s">
        <v>350</v>
      </c>
      <c r="L4" s="148"/>
    </row>
    <row r="5" spans="1:12" ht="144" x14ac:dyDescent="0.2">
      <c r="A5" s="148" t="s">
        <v>351</v>
      </c>
      <c r="C5" s="148" t="s">
        <v>352</v>
      </c>
      <c r="D5" s="148" t="s">
        <v>353</v>
      </c>
      <c r="F5" s="148" t="s">
        <v>354</v>
      </c>
      <c r="L5" s="148"/>
    </row>
    <row r="6" spans="1:12" ht="160" x14ac:dyDescent="0.2">
      <c r="A6" s="148" t="s">
        <v>355</v>
      </c>
      <c r="C6" s="148" t="s">
        <v>356</v>
      </c>
      <c r="D6" s="148" t="s">
        <v>357</v>
      </c>
      <c r="F6" s="148" t="s">
        <v>358</v>
      </c>
      <c r="L6" s="148"/>
    </row>
    <row r="7" spans="1:12" ht="128" x14ac:dyDescent="0.2">
      <c r="A7" s="148" t="s">
        <v>359</v>
      </c>
      <c r="C7" s="148" t="s">
        <v>356</v>
      </c>
      <c r="D7" s="148" t="s">
        <v>360</v>
      </c>
      <c r="F7" s="148" t="s">
        <v>361</v>
      </c>
      <c r="L7" s="148"/>
    </row>
    <row r="8" spans="1:12" ht="16" x14ac:dyDescent="0.2">
      <c r="A8" s="149" t="s">
        <v>23</v>
      </c>
      <c r="B8" s="149">
        <f>SUM(B3:B7)</f>
        <v>1</v>
      </c>
      <c r="C8" s="149" t="s">
        <v>362</v>
      </c>
      <c r="D8" s="149" t="s">
        <v>362</v>
      </c>
      <c r="E8" s="149" t="s">
        <v>362</v>
      </c>
      <c r="F8" s="149" t="s">
        <v>362</v>
      </c>
      <c r="G8" s="149" t="s">
        <v>362</v>
      </c>
      <c r="H8" s="149">
        <f>SUM(H3:H7)</f>
        <v>0</v>
      </c>
      <c r="I8" s="149" t="s">
        <v>362</v>
      </c>
      <c r="J8" s="149" t="s">
        <v>362</v>
      </c>
      <c r="K8" s="149" t="s">
        <v>362</v>
      </c>
      <c r="L8" s="149" t="str">
        <f>COUNTIF(L3:L7,"SÌ")&amp;" / 5"</f>
        <v>0 / 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/>
  </sheetViews>
  <sheetFormatPr baseColWidth="10" defaultColWidth="8.83203125" defaultRowHeight="15" x14ac:dyDescent="0.2"/>
  <cols>
    <col min="1" max="1" width="7" customWidth="1"/>
    <col min="2" max="2" width="80" customWidth="1"/>
    <col min="3" max="3" width="28" customWidth="1"/>
    <col min="4" max="4" width="18" customWidth="1"/>
    <col min="5" max="5" width="12" customWidth="1"/>
  </cols>
  <sheetData>
    <row r="1" spans="1:5" ht="17" x14ac:dyDescent="0.2">
      <c r="A1" s="150" t="s">
        <v>363</v>
      </c>
    </row>
    <row r="3" spans="1:5" ht="17" x14ac:dyDescent="0.2">
      <c r="A3" s="150" t="s">
        <v>364</v>
      </c>
    </row>
    <row r="4" spans="1:5" ht="16" x14ac:dyDescent="0.2">
      <c r="A4" s="149" t="s">
        <v>365</v>
      </c>
      <c r="B4" s="149" t="s">
        <v>366</v>
      </c>
      <c r="C4" s="149" t="s">
        <v>367</v>
      </c>
      <c r="D4" s="149" t="s">
        <v>368</v>
      </c>
      <c r="E4" s="149" t="s">
        <v>369</v>
      </c>
    </row>
    <row r="5" spans="1:5" ht="32" x14ac:dyDescent="0.2">
      <c r="A5" s="148">
        <v>1</v>
      </c>
      <c r="B5" s="148" t="s">
        <v>370</v>
      </c>
      <c r="C5" s="148" t="s">
        <v>371</v>
      </c>
      <c r="D5" s="148" t="s">
        <v>372</v>
      </c>
      <c r="E5" s="148" t="s">
        <v>347</v>
      </c>
    </row>
    <row r="7" spans="1:5" ht="17" x14ac:dyDescent="0.2">
      <c r="A7" s="150" t="s">
        <v>373</v>
      </c>
    </row>
    <row r="8" spans="1:5" ht="16" x14ac:dyDescent="0.2">
      <c r="A8" s="149" t="s">
        <v>365</v>
      </c>
      <c r="B8" s="149" t="s">
        <v>366</v>
      </c>
      <c r="C8" s="149" t="s">
        <v>367</v>
      </c>
      <c r="D8" s="149" t="s">
        <v>368</v>
      </c>
      <c r="E8" s="149" t="s">
        <v>369</v>
      </c>
    </row>
    <row r="9" spans="1:5" ht="64" x14ac:dyDescent="0.2">
      <c r="A9" s="148">
        <v>1</v>
      </c>
      <c r="B9" s="148" t="s">
        <v>374</v>
      </c>
      <c r="D9" s="148" t="s">
        <v>375</v>
      </c>
      <c r="E9" s="148" t="s">
        <v>347</v>
      </c>
    </row>
    <row r="11" spans="1:5" ht="17" x14ac:dyDescent="0.2">
      <c r="A11" s="150" t="s">
        <v>376</v>
      </c>
    </row>
    <row r="12" spans="1:5" ht="16" x14ac:dyDescent="0.2">
      <c r="A12" s="149" t="s">
        <v>365</v>
      </c>
      <c r="B12" s="149" t="s">
        <v>366</v>
      </c>
      <c r="C12" s="149" t="s">
        <v>367</v>
      </c>
      <c r="D12" s="149" t="s">
        <v>368</v>
      </c>
      <c r="E12" s="149" t="s">
        <v>369</v>
      </c>
    </row>
    <row r="13" spans="1:5" ht="64" x14ac:dyDescent="0.2">
      <c r="A13" s="148">
        <v>1</v>
      </c>
      <c r="B13" s="148" t="s">
        <v>377</v>
      </c>
      <c r="C13" s="148" t="s">
        <v>378</v>
      </c>
      <c r="D13" s="148" t="s">
        <v>379</v>
      </c>
      <c r="E13" s="148" t="s">
        <v>347</v>
      </c>
    </row>
    <row r="15" spans="1:5" ht="32" x14ac:dyDescent="0.2">
      <c r="A15" s="149" t="s">
        <v>380</v>
      </c>
      <c r="B15" s="149" t="str">
        <f>COUNTIF(E1:E14,"SÌ")&amp;" / "&amp;(COUNTIF(E1:E14,"SÌ")+COUNTIF(E1:E14,"NO"))</f>
        <v>0 / 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4" customWidth="1"/>
    <col min="3" max="4" width="28" customWidth="1"/>
    <col min="5" max="6" width="12" customWidth="1"/>
    <col min="7" max="8" width="10" customWidth="1"/>
    <col min="9" max="9" width="14" customWidth="1"/>
    <col min="10" max="11" width="13" customWidth="1"/>
    <col min="12" max="12" width="60" customWidth="1"/>
  </cols>
  <sheetData>
    <row r="1" spans="1:12" ht="17" x14ac:dyDescent="0.2">
      <c r="A1" s="150" t="s">
        <v>381</v>
      </c>
    </row>
    <row r="2" spans="1:12" x14ac:dyDescent="0.2">
      <c r="A2" s="151" t="s">
        <v>382</v>
      </c>
      <c r="B2" s="148">
        <v>24</v>
      </c>
      <c r="C2" s="151" t="s">
        <v>383</v>
      </c>
      <c r="D2" s="148">
        <v>24</v>
      </c>
      <c r="E2" s="151" t="s">
        <v>384</v>
      </c>
      <c r="F2" s="153">
        <f>CCNL!$B$41</f>
        <v>215.875</v>
      </c>
    </row>
    <row r="4" spans="1:12" ht="32" x14ac:dyDescent="0.2">
      <c r="A4" s="149" t="s">
        <v>385</v>
      </c>
      <c r="B4" s="149" t="s">
        <v>386</v>
      </c>
      <c r="C4" s="149" t="s">
        <v>387</v>
      </c>
      <c r="D4" s="149" t="s">
        <v>388</v>
      </c>
      <c r="E4" s="149" t="s">
        <v>389</v>
      </c>
      <c r="F4" s="149" t="s">
        <v>390</v>
      </c>
      <c r="G4" s="149" t="s">
        <v>391</v>
      </c>
      <c r="H4" s="149" t="s">
        <v>392</v>
      </c>
      <c r="I4" s="149" t="s">
        <v>393</v>
      </c>
      <c r="J4" s="149" t="s">
        <v>394</v>
      </c>
      <c r="K4" s="149" t="s">
        <v>395</v>
      </c>
      <c r="L4" s="149" t="s">
        <v>396</v>
      </c>
    </row>
    <row r="5" spans="1:12" ht="32" x14ac:dyDescent="0.2">
      <c r="A5" s="151" t="s">
        <v>326</v>
      </c>
      <c r="B5" s="151" t="s">
        <v>362</v>
      </c>
      <c r="C5" s="151" t="s">
        <v>362</v>
      </c>
      <c r="D5" s="151" t="s">
        <v>362</v>
      </c>
      <c r="E5" s="151" t="s">
        <v>362</v>
      </c>
      <c r="F5" s="151" t="s">
        <v>362</v>
      </c>
      <c r="G5" s="151" t="s">
        <v>362</v>
      </c>
      <c r="H5" s="153">
        <v>2</v>
      </c>
      <c r="I5" s="153">
        <f>H5*$F$2*$B$2/12</f>
        <v>863.5</v>
      </c>
      <c r="J5" s="153">
        <f>H5*$F$2*$D$2/12</f>
        <v>863.5</v>
      </c>
      <c r="K5" s="153">
        <f>IF(COUNT(I5:J5),SUM(I5:J5),"")</f>
        <v>1727</v>
      </c>
      <c r="L5" s="148" t="s">
        <v>397</v>
      </c>
    </row>
    <row r="6" spans="1:12" ht="64" x14ac:dyDescent="0.2">
      <c r="C6" s="148" t="s">
        <v>398</v>
      </c>
      <c r="L6" s="148" t="s">
        <v>399</v>
      </c>
    </row>
    <row r="7" spans="1:12" ht="16" x14ac:dyDescent="0.2">
      <c r="D7" s="148" t="s">
        <v>348</v>
      </c>
      <c r="E7" s="152">
        <v>0.35</v>
      </c>
      <c r="F7" s="152">
        <v>0.5</v>
      </c>
      <c r="G7" s="152">
        <f>IF(COUNT(E7:F7),AVERAGE(E7:F7),"")</f>
        <v>0.42499999999999999</v>
      </c>
      <c r="I7" s="153">
        <f>IF(G7&lt;&gt;"",G7*I$5,"")</f>
        <v>366.98750000000001</v>
      </c>
      <c r="J7" s="153">
        <f>IF(G7&lt;&gt;"",G7*J$5,"")</f>
        <v>366.98750000000001</v>
      </c>
      <c r="K7" s="153">
        <f>IF(COUNT(I7:J7),SUM(I7:J7),"")</f>
        <v>733.97500000000002</v>
      </c>
    </row>
    <row r="8" spans="1:12" ht="16" x14ac:dyDescent="0.2">
      <c r="D8" s="148" t="s">
        <v>351</v>
      </c>
      <c r="E8" s="152">
        <v>0.5</v>
      </c>
      <c r="F8" s="152">
        <v>0.65</v>
      </c>
      <c r="G8" s="152">
        <f>IF(COUNT(E8:F8),AVERAGE(E8:F8),"")</f>
        <v>0.57499999999999996</v>
      </c>
      <c r="I8" s="153">
        <f>IF(G8&lt;&gt;"",G8*I$5,"")</f>
        <v>496.51249999999999</v>
      </c>
      <c r="J8" s="153">
        <f>IF(G8&lt;&gt;"",G8*J$5,"")</f>
        <v>496.51249999999999</v>
      </c>
      <c r="K8" s="153">
        <f>IF(COUNT(I8:J8),SUM(I8:J8),"")</f>
        <v>993.02499999999998</v>
      </c>
    </row>
    <row r="9" spans="1:12" ht="64" x14ac:dyDescent="0.2">
      <c r="C9" s="148" t="s">
        <v>400</v>
      </c>
      <c r="L9" s="148" t="s">
        <v>401</v>
      </c>
    </row>
    <row r="10" spans="1:12" ht="16" x14ac:dyDescent="0.2">
      <c r="D10" s="148" t="s">
        <v>348</v>
      </c>
      <c r="E10" s="152">
        <v>0.35</v>
      </c>
      <c r="F10" s="152">
        <v>0.5</v>
      </c>
      <c r="G10" s="152">
        <f>IF(COUNT(E10:F10),AVERAGE(E10:F10),"")</f>
        <v>0.42499999999999999</v>
      </c>
      <c r="I10" s="153">
        <f>IF(G10&lt;&gt;"",G10*I$5,"")</f>
        <v>366.98750000000001</v>
      </c>
      <c r="J10" s="153">
        <f>IF(G10&lt;&gt;"",G10*J$5,"")</f>
        <v>366.98750000000001</v>
      </c>
      <c r="K10" s="153">
        <f>IF(COUNT(I10:J10),SUM(I10:J10),"")</f>
        <v>733.97500000000002</v>
      </c>
    </row>
    <row r="11" spans="1:12" ht="16" x14ac:dyDescent="0.2">
      <c r="D11" s="148" t="s">
        <v>351</v>
      </c>
      <c r="E11" s="152">
        <v>0.5</v>
      </c>
      <c r="F11" s="152">
        <v>0.65</v>
      </c>
      <c r="G11" s="152">
        <f>IF(COUNT(E11:F11),AVERAGE(E11:F11),"")</f>
        <v>0.57499999999999996</v>
      </c>
      <c r="I11" s="153">
        <f>IF(G11&lt;&gt;"",G11*I$5,"")</f>
        <v>496.51249999999999</v>
      </c>
      <c r="J11" s="153">
        <f>IF(G11&lt;&gt;"",G11*J$5,"")</f>
        <v>496.51249999999999</v>
      </c>
      <c r="K11" s="153">
        <f>IF(COUNT(I11:J11),SUM(I11:J11),"")</f>
        <v>993.02499999999998</v>
      </c>
    </row>
    <row r="12" spans="1:12" ht="48" x14ac:dyDescent="0.2">
      <c r="C12" s="148" t="s">
        <v>402</v>
      </c>
      <c r="L12" s="148" t="s">
        <v>403</v>
      </c>
    </row>
    <row r="13" spans="1:12" ht="16" x14ac:dyDescent="0.2">
      <c r="D13" s="148" t="s">
        <v>348</v>
      </c>
      <c r="E13" s="152">
        <v>0.35</v>
      </c>
      <c r="F13" s="152">
        <v>0.5</v>
      </c>
      <c r="G13" s="152">
        <f>IF(COUNT(E13:F13),AVERAGE(E13:F13),"")</f>
        <v>0.42499999999999999</v>
      </c>
      <c r="I13" s="153">
        <f>IF(G13&lt;&gt;"",G13*I$5,"")</f>
        <v>366.98750000000001</v>
      </c>
      <c r="J13" s="153">
        <f>IF(G13&lt;&gt;"",G13*J$5,"")</f>
        <v>366.98750000000001</v>
      </c>
      <c r="K13" s="153">
        <f>IF(COUNT(I13:J13),SUM(I13:J13),"")</f>
        <v>733.97500000000002</v>
      </c>
    </row>
    <row r="14" spans="1:12" ht="16" x14ac:dyDescent="0.2">
      <c r="D14" s="148" t="s">
        <v>351</v>
      </c>
      <c r="E14" s="152">
        <v>0.5</v>
      </c>
      <c r="F14" s="152">
        <v>0.65</v>
      </c>
      <c r="G14" s="152">
        <f>IF(COUNT(E14:F14),AVERAGE(E14:F14),"")</f>
        <v>0.57499999999999996</v>
      </c>
      <c r="I14" s="153">
        <f>IF(G14&lt;&gt;"",G14*I$5,"")</f>
        <v>496.51249999999999</v>
      </c>
      <c r="J14" s="153">
        <f>IF(G14&lt;&gt;"",G14*J$5,"")</f>
        <v>496.51249999999999</v>
      </c>
      <c r="K14" s="153">
        <f>IF(COUNT(I14:J14),SUM(I14:J14),"")</f>
        <v>993.02499999999998</v>
      </c>
    </row>
    <row r="15" spans="1:12" ht="16" x14ac:dyDescent="0.2">
      <c r="D15" s="148" t="s">
        <v>355</v>
      </c>
      <c r="G15" s="152" t="str">
        <f>IF(COUNT(E15:F15),AVERAGE(E15:F15),"")</f>
        <v/>
      </c>
      <c r="I15" s="153" t="str">
        <f>IF(G15&lt;&gt;"",G15*I$5,"")</f>
        <v/>
      </c>
      <c r="J15" s="153" t="str">
        <f>IF(G15&lt;&gt;"",G15*J$5,"")</f>
        <v/>
      </c>
      <c r="K15" s="153" t="str">
        <f>IF(COUNT(I15:J15),SUM(I15:J15),"")</f>
        <v/>
      </c>
    </row>
    <row r="16" spans="1:12" ht="48" x14ac:dyDescent="0.2">
      <c r="A16" s="151" t="s">
        <v>404</v>
      </c>
      <c r="B16" s="151" t="s">
        <v>362</v>
      </c>
      <c r="C16" s="151" t="s">
        <v>362</v>
      </c>
      <c r="D16" s="151" t="s">
        <v>362</v>
      </c>
      <c r="E16" s="151" t="s">
        <v>362</v>
      </c>
      <c r="F16" s="151" t="s">
        <v>362</v>
      </c>
      <c r="G16" s="151" t="s">
        <v>362</v>
      </c>
      <c r="H16" s="151" t="s">
        <v>362</v>
      </c>
      <c r="I16" s="151">
        <v>800</v>
      </c>
      <c r="J16" s="151">
        <v>800</v>
      </c>
      <c r="K16" s="153">
        <f>IF(COUNT(I16:J16),SUM(I16:J16),"")</f>
        <v>1600</v>
      </c>
      <c r="L16" s="148" t="s">
        <v>405</v>
      </c>
    </row>
    <row r="17" spans="1:12" ht="48" x14ac:dyDescent="0.2">
      <c r="C17" s="148" t="s">
        <v>406</v>
      </c>
      <c r="L17" s="148" t="s">
        <v>407</v>
      </c>
    </row>
    <row r="18" spans="1:12" ht="16" x14ac:dyDescent="0.2">
      <c r="D18" s="148" t="s">
        <v>343</v>
      </c>
      <c r="G18" s="152" t="str">
        <f>IF(COUNT(E18:F18),AVERAGE(E18:F18),"")</f>
        <v/>
      </c>
      <c r="I18" s="153" t="str">
        <f>IF(G18&lt;&gt;"",G18*I$16,"")</f>
        <v/>
      </c>
      <c r="J18" s="153" t="str">
        <f>IF(G18&lt;&gt;"",G18*J$16,"")</f>
        <v/>
      </c>
      <c r="K18" s="153" t="str">
        <f>IF(COUNT(I18:J18),SUM(I18:J18),"")</f>
        <v/>
      </c>
    </row>
    <row r="19" spans="1:12" ht="16" x14ac:dyDescent="0.2">
      <c r="D19" s="148" t="s">
        <v>348</v>
      </c>
      <c r="E19" s="152">
        <v>0.3</v>
      </c>
      <c r="F19" s="152">
        <v>0.5</v>
      </c>
      <c r="G19" s="152">
        <f>IF(COUNT(E19:F19),AVERAGE(E19:F19),"")</f>
        <v>0.4</v>
      </c>
      <c r="I19" s="153">
        <f>IF(G19&lt;&gt;"",G19*I$16,"")</f>
        <v>320</v>
      </c>
      <c r="J19" s="153">
        <f>IF(G19&lt;&gt;"",G19*J$16,"")</f>
        <v>320</v>
      </c>
      <c r="K19" s="153">
        <f>IF(COUNT(I19:J19),SUM(I19:J19),"")</f>
        <v>640</v>
      </c>
    </row>
    <row r="20" spans="1:12" ht="32" x14ac:dyDescent="0.2">
      <c r="C20" s="148" t="s">
        <v>408</v>
      </c>
      <c r="L20" s="148" t="s">
        <v>409</v>
      </c>
    </row>
    <row r="21" spans="1:12" ht="16" x14ac:dyDescent="0.2">
      <c r="D21" s="148" t="s">
        <v>351</v>
      </c>
      <c r="E21" s="152">
        <v>0.35</v>
      </c>
      <c r="F21" s="152">
        <v>0.55000000000000004</v>
      </c>
      <c r="G21" s="152">
        <f>IF(COUNT(E21:F21),AVERAGE(E21:F21),"")</f>
        <v>0.45</v>
      </c>
      <c r="I21" s="153">
        <f>IF(G21&lt;&gt;"",G21*I$16,"")</f>
        <v>360</v>
      </c>
      <c r="J21" s="153">
        <f>IF(G21&lt;&gt;"",G21*J$16,"")</f>
        <v>360</v>
      </c>
      <c r="K21" s="153">
        <f>IF(COUNT(I21:J21),SUM(I21:J21),"")</f>
        <v>720</v>
      </c>
    </row>
    <row r="22" spans="1:12" ht="16" x14ac:dyDescent="0.2">
      <c r="D22" s="148" t="s">
        <v>355</v>
      </c>
      <c r="E22" s="152">
        <v>0.15</v>
      </c>
      <c r="F22" s="152">
        <v>0.35</v>
      </c>
      <c r="G22" s="152">
        <f>IF(COUNT(E22:F22),AVERAGE(E22:F22),"")</f>
        <v>0.25</v>
      </c>
      <c r="I22" s="153">
        <f>IF(G22&lt;&gt;"",G22*I$16,"")</f>
        <v>200</v>
      </c>
      <c r="J22" s="153">
        <f>IF(G22&lt;&gt;"",G22*J$16,"")</f>
        <v>200</v>
      </c>
      <c r="K22" s="153">
        <f>IF(COUNT(I22:J22),SUM(I22:J22),"")</f>
        <v>400</v>
      </c>
    </row>
    <row r="23" spans="1:12" ht="32" x14ac:dyDescent="0.2">
      <c r="C23" s="148" t="s">
        <v>410</v>
      </c>
      <c r="L23" s="148" t="s">
        <v>411</v>
      </c>
    </row>
    <row r="24" spans="1:12" ht="16" x14ac:dyDescent="0.2">
      <c r="D24" s="148" t="s">
        <v>351</v>
      </c>
      <c r="E24" s="152">
        <v>0.35</v>
      </c>
      <c r="F24" s="152">
        <v>0.55000000000000004</v>
      </c>
      <c r="G24" s="152">
        <f>IF(COUNT(E24:F24),AVERAGE(E24:F24),"")</f>
        <v>0.45</v>
      </c>
      <c r="I24" s="153">
        <f>IF(G24&lt;&gt;"",G24*I$16,"")</f>
        <v>360</v>
      </c>
      <c r="J24" s="153">
        <f>IF(G24&lt;&gt;"",G24*J$16,"")</f>
        <v>360</v>
      </c>
      <c r="K24" s="153">
        <f>IF(COUNT(I24:J24),SUM(I24:J24),"")</f>
        <v>720</v>
      </c>
    </row>
    <row r="25" spans="1:12" ht="16" x14ac:dyDescent="0.2">
      <c r="D25" s="148" t="s">
        <v>348</v>
      </c>
      <c r="E25" s="152">
        <v>0.3</v>
      </c>
      <c r="F25" s="152">
        <v>0.5</v>
      </c>
      <c r="G25" s="152">
        <f>IF(COUNT(E25:F25),AVERAGE(E25:F25),"")</f>
        <v>0.4</v>
      </c>
      <c r="I25" s="153">
        <f>IF(G25&lt;&gt;"",G25*I$16,"")</f>
        <v>320</v>
      </c>
      <c r="J25" s="153">
        <f>IF(G25&lt;&gt;"",G25*J$16,"")</f>
        <v>320</v>
      </c>
      <c r="K25" s="153">
        <f>IF(COUNT(I25:J25),SUM(I25:J25),"")</f>
        <v>640</v>
      </c>
    </row>
    <row r="26" spans="1:12" ht="48" x14ac:dyDescent="0.2">
      <c r="C26" s="148" t="s">
        <v>412</v>
      </c>
      <c r="L26" s="148" t="s">
        <v>413</v>
      </c>
    </row>
    <row r="27" spans="1:12" ht="16" x14ac:dyDescent="0.2">
      <c r="D27" s="148" t="s">
        <v>355</v>
      </c>
      <c r="E27" s="152">
        <v>0.15</v>
      </c>
      <c r="F27" s="152">
        <v>0.35</v>
      </c>
      <c r="G27" s="152">
        <f>IF(COUNT(E27:F27),AVERAGE(E27:F27),"")</f>
        <v>0.25</v>
      </c>
      <c r="I27" s="153">
        <f>IF(G27&lt;&gt;"",G27*I$16,"")</f>
        <v>200</v>
      </c>
      <c r="J27" s="153">
        <f>IF(G27&lt;&gt;"",G27*J$16,"")</f>
        <v>200</v>
      </c>
      <c r="K27" s="153">
        <f>IF(COUNT(I27:J27),SUM(I27:J27),"")</f>
        <v>400</v>
      </c>
    </row>
    <row r="29" spans="1:12" ht="16" x14ac:dyDescent="0.2">
      <c r="A29" s="149" t="s">
        <v>23</v>
      </c>
      <c r="B29" s="149" t="s">
        <v>362</v>
      </c>
      <c r="C29" s="149" t="s">
        <v>362</v>
      </c>
      <c r="D29" s="149" t="s">
        <v>362</v>
      </c>
      <c r="E29" s="149" t="s">
        <v>362</v>
      </c>
      <c r="F29" s="149" t="s">
        <v>362</v>
      </c>
      <c r="G29" s="149" t="s">
        <v>362</v>
      </c>
      <c r="H29" s="149" t="s">
        <v>362</v>
      </c>
      <c r="I29" s="149">
        <f>SUM(I5,I16)</f>
        <v>1663.5</v>
      </c>
      <c r="J29" s="149">
        <f>SUM(J5,J16)</f>
        <v>1663.5</v>
      </c>
      <c r="K29" s="149">
        <f>SUM(K5,K16)</f>
        <v>3327</v>
      </c>
      <c r="L29" s="149" t="s">
        <v>362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3" width="10" customWidth="1"/>
    <col min="4" max="4" width="12" customWidth="1"/>
    <col min="5" max="5" width="10" customWidth="1"/>
    <col min="6" max="6" width="44" customWidth="1"/>
    <col min="7" max="7" width="12" customWidth="1"/>
    <col min="8" max="9" width="14" customWidth="1"/>
    <col min="10" max="10" width="13" customWidth="1"/>
    <col min="11" max="11" width="11" customWidth="1"/>
    <col min="12" max="12" width="40" customWidth="1"/>
  </cols>
  <sheetData>
    <row r="1" spans="1:12" ht="17" x14ac:dyDescent="0.2">
      <c r="A1" s="150" t="s">
        <v>414</v>
      </c>
    </row>
    <row r="3" spans="1:12" ht="48" x14ac:dyDescent="0.2">
      <c r="A3" s="149" t="s">
        <v>8</v>
      </c>
      <c r="B3" s="149" t="s">
        <v>415</v>
      </c>
      <c r="C3" s="149" t="s">
        <v>416</v>
      </c>
      <c r="D3" s="149" t="s">
        <v>417</v>
      </c>
      <c r="E3" s="149" t="s">
        <v>418</v>
      </c>
      <c r="F3" s="149" t="s">
        <v>419</v>
      </c>
      <c r="G3" s="149" t="s">
        <v>420</v>
      </c>
      <c r="H3" s="149" t="s">
        <v>421</v>
      </c>
      <c r="I3" s="149" t="s">
        <v>23</v>
      </c>
      <c r="J3" s="149" t="s">
        <v>422</v>
      </c>
      <c r="K3" s="149" t="s">
        <v>337</v>
      </c>
      <c r="L3" s="149" t="s">
        <v>423</v>
      </c>
    </row>
    <row r="4" spans="1:12" ht="32" x14ac:dyDescent="0.2">
      <c r="A4" s="148" t="s">
        <v>424</v>
      </c>
      <c r="B4" s="148" t="s">
        <v>425</v>
      </c>
      <c r="C4" s="148" t="s">
        <v>426</v>
      </c>
      <c r="D4" s="148">
        <v>24</v>
      </c>
      <c r="E4" s="148">
        <v>2</v>
      </c>
      <c r="F4" s="148" t="str">
        <f>ECONOMICA!A2</f>
        <v>Application Maintenance</v>
      </c>
      <c r="G4" s="148">
        <f>ECONOMICA!C2</f>
        <v>24</v>
      </c>
      <c r="H4" s="153">
        <f>ECONOMICA!D2</f>
        <v>0</v>
      </c>
      <c r="I4" s="153">
        <f>IF(AND(ISNUMBER(G4),ISNUMBER(H4)),G4*H4,"")</f>
        <v>0</v>
      </c>
      <c r="J4" s="148" t="str">
        <f>IF(D4="","—",IF(D4=G4,"OK","VERIFICARE"))</f>
        <v>OK</v>
      </c>
      <c r="L4" s="148" t="s">
        <v>427</v>
      </c>
    </row>
    <row r="5" spans="1:12" ht="32" x14ac:dyDescent="0.2">
      <c r="A5" s="148" t="s">
        <v>428</v>
      </c>
      <c r="B5" s="148" t="s">
        <v>429</v>
      </c>
      <c r="J5" s="148" t="s">
        <v>430</v>
      </c>
      <c r="L5" s="148" t="s">
        <v>431</v>
      </c>
    </row>
    <row r="6" spans="1:12" ht="32" x14ac:dyDescent="0.2">
      <c r="A6" s="148" t="s">
        <v>432</v>
      </c>
      <c r="B6" s="148" t="s">
        <v>433</v>
      </c>
      <c r="D6" s="148">
        <v>100</v>
      </c>
      <c r="J6" s="148" t="s">
        <v>430</v>
      </c>
      <c r="L6" s="148" t="s">
        <v>434</v>
      </c>
    </row>
    <row r="7" spans="1:12" ht="32" x14ac:dyDescent="0.2">
      <c r="A7" s="148" t="s">
        <v>435</v>
      </c>
      <c r="B7" s="148" t="s">
        <v>436</v>
      </c>
      <c r="C7" s="148" t="s">
        <v>328</v>
      </c>
      <c r="D7" s="148">
        <v>800</v>
      </c>
      <c r="E7" s="148">
        <v>3</v>
      </c>
      <c r="F7" s="148" t="str">
        <f>ECONOMICA!A3</f>
        <v>Implementazione nuove soluzioni - Manutenzione Evolutiva</v>
      </c>
      <c r="G7" s="148">
        <f>ECONOMICA!C3</f>
        <v>800</v>
      </c>
      <c r="H7" s="153">
        <f>ECONOMICA!D3</f>
        <v>0</v>
      </c>
      <c r="I7" s="153">
        <f>IF(AND(ISNUMBER(G7),ISNUMBER(H7)),G7*H7,"")</f>
        <v>0</v>
      </c>
      <c r="J7" s="148" t="str">
        <f>IF(D7="","—",IF(D7=G7,"OK","VERIFICARE"))</f>
        <v>OK</v>
      </c>
      <c r="L7" s="148" t="s">
        <v>437</v>
      </c>
    </row>
    <row r="8" spans="1:12" ht="32" x14ac:dyDescent="0.2">
      <c r="A8" s="148" t="s">
        <v>438</v>
      </c>
      <c r="B8" s="148" t="s">
        <v>439</v>
      </c>
      <c r="C8" s="148" t="s">
        <v>440</v>
      </c>
      <c r="E8" s="148">
        <v>3</v>
      </c>
      <c r="F8" s="148" t="str">
        <f>ECONOMICA!A3</f>
        <v>Implementazione nuove soluzioni - Manutenzione Evolutiva</v>
      </c>
      <c r="G8" s="148">
        <f>ECONOMICA!C3</f>
        <v>800</v>
      </c>
      <c r="H8" s="153">
        <f>ECONOMICA!D3</f>
        <v>0</v>
      </c>
      <c r="I8" s="153">
        <f>IF(AND(ISNUMBER(G8),ISNUMBER(H8)),G8*H8,"")</f>
        <v>0</v>
      </c>
      <c r="J8" s="148" t="str">
        <f>IF(D8="","—",IF(D8=G8,"OK","VERIFICARE"))</f>
        <v>—</v>
      </c>
      <c r="L8" s="148" t="s">
        <v>441</v>
      </c>
    </row>
    <row r="9" spans="1:12" ht="32" x14ac:dyDescent="0.2">
      <c r="A9" s="148" t="s">
        <v>442</v>
      </c>
      <c r="B9" s="148" t="s">
        <v>443</v>
      </c>
      <c r="C9" s="148" t="s">
        <v>440</v>
      </c>
      <c r="E9" s="148">
        <v>3</v>
      </c>
      <c r="F9" s="148" t="str">
        <f>ECONOMICA!A3</f>
        <v>Implementazione nuove soluzioni - Manutenzione Evolutiva</v>
      </c>
      <c r="G9" s="148">
        <f>ECONOMICA!C3</f>
        <v>800</v>
      </c>
      <c r="H9" s="153">
        <f>ECONOMICA!D3</f>
        <v>0</v>
      </c>
      <c r="I9" s="153">
        <f>IF(AND(ISNUMBER(G9),ISNUMBER(H9)),G9*H9,"")</f>
        <v>0</v>
      </c>
      <c r="J9" s="148" t="str">
        <f>IF(D9="","—",IF(D9=G9,"OK","VERIFICARE"))</f>
        <v>—</v>
      </c>
      <c r="L9" s="148" t="s">
        <v>441</v>
      </c>
    </row>
    <row r="10" spans="1:12" ht="32" x14ac:dyDescent="0.2">
      <c r="A10" s="148" t="s">
        <v>444</v>
      </c>
      <c r="B10" s="148" t="s">
        <v>445</v>
      </c>
      <c r="C10" s="148" t="s">
        <v>440</v>
      </c>
      <c r="D10" s="148">
        <v>100</v>
      </c>
      <c r="E10" s="148">
        <v>3</v>
      </c>
      <c r="F10" s="148" t="str">
        <f>ECONOMICA!A3</f>
        <v>Implementazione nuove soluzioni - Manutenzione Evolutiva</v>
      </c>
      <c r="G10" s="148">
        <f>ECONOMICA!C3</f>
        <v>800</v>
      </c>
      <c r="H10" s="153">
        <f>ECONOMICA!D3</f>
        <v>0</v>
      </c>
      <c r="I10" s="153">
        <f>IF(AND(ISNUMBER(G10),ISNUMBER(H10)),G10*H10,"")</f>
        <v>0</v>
      </c>
      <c r="J10" s="148" t="str">
        <f>IF(D10="","—",IF(D10=G10,"OK","VERIFICARE"))</f>
        <v>VERIFICARE</v>
      </c>
      <c r="L10" s="148" t="s">
        <v>446</v>
      </c>
    </row>
    <row r="11" spans="1:12" ht="32" x14ac:dyDescent="0.2">
      <c r="B11" s="148" t="s">
        <v>447</v>
      </c>
      <c r="C11" s="148" t="s">
        <v>105</v>
      </c>
      <c r="J11" s="148" t="s">
        <v>448</v>
      </c>
      <c r="L11" s="148" t="s">
        <v>449</v>
      </c>
    </row>
    <row r="12" spans="1:12" ht="32" x14ac:dyDescent="0.2">
      <c r="B12" s="148" t="s">
        <v>450</v>
      </c>
      <c r="C12" s="148" t="s">
        <v>451</v>
      </c>
      <c r="J12" s="148" t="s">
        <v>430</v>
      </c>
      <c r="L12" s="148" t="s">
        <v>452</v>
      </c>
    </row>
    <row r="13" spans="1:12" ht="32" x14ac:dyDescent="0.2">
      <c r="B13" s="148" t="s">
        <v>453</v>
      </c>
      <c r="C13" s="148" t="s">
        <v>451</v>
      </c>
      <c r="J13" s="148" t="s">
        <v>430</v>
      </c>
      <c r="L13" s="148" t="s">
        <v>452</v>
      </c>
    </row>
    <row r="14" spans="1:12" ht="48" x14ac:dyDescent="0.2">
      <c r="A14" s="149" t="s">
        <v>454</v>
      </c>
      <c r="B14" s="149" t="s">
        <v>362</v>
      </c>
      <c r="C14" s="149" t="s">
        <v>362</v>
      </c>
      <c r="D14" s="149" t="s">
        <v>362</v>
      </c>
      <c r="E14" s="149" t="s">
        <v>362</v>
      </c>
      <c r="F14" s="149" t="s">
        <v>362</v>
      </c>
      <c r="G14" s="149" t="s">
        <v>362</v>
      </c>
      <c r="H14" s="149" t="s">
        <v>362</v>
      </c>
      <c r="I14" s="149">
        <f>SUM(I4:I13)</f>
        <v>0</v>
      </c>
      <c r="J14" s="149" t="str">
        <f>COUNTIF(J4:J13,"OK")&amp;" / 10 coerenti"</f>
        <v>2 / 10 coerenti</v>
      </c>
      <c r="K14" s="149" t="s">
        <v>362</v>
      </c>
      <c r="L14" s="149" t="s">
        <v>362</v>
      </c>
    </row>
    <row r="16" spans="1:12" ht="17" x14ac:dyDescent="0.2">
      <c r="A16" s="150" t="s">
        <v>455</v>
      </c>
    </row>
    <row r="17" spans="1:2" ht="48" x14ac:dyDescent="0.2">
      <c r="A17" s="148">
        <v>1</v>
      </c>
      <c r="B17" s="148" t="s">
        <v>456</v>
      </c>
    </row>
    <row r="18" spans="1:2" ht="32" x14ac:dyDescent="0.2">
      <c r="A18" s="148">
        <v>2</v>
      </c>
      <c r="B18" s="148" t="s">
        <v>457</v>
      </c>
    </row>
    <row r="19" spans="1:2" ht="64" x14ac:dyDescent="0.2">
      <c r="A19" s="148">
        <v>3</v>
      </c>
      <c r="B19" s="148" t="s">
        <v>458</v>
      </c>
    </row>
    <row r="20" spans="1:2" ht="32" x14ac:dyDescent="0.2">
      <c r="A20" s="148">
        <v>4</v>
      </c>
      <c r="B20" s="148" t="s">
        <v>459</v>
      </c>
    </row>
    <row r="21" spans="1:2" ht="32" x14ac:dyDescent="0.2">
      <c r="A21" s="148">
        <v>5</v>
      </c>
      <c r="B21" s="148" t="s">
        <v>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34061-b992-4e1b-98df-b372f1f37d98">
      <Terms xmlns="http://schemas.microsoft.com/office/infopath/2007/PartnerControls"/>
    </lcf76f155ced4ddcb4097134ff3c332f>
    <TaxCatchAll xmlns="7074a71a-cff4-4d66-9cf4-090487a636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02977E80251D468AE0BBE05730A52F" ma:contentTypeVersion="18" ma:contentTypeDescription="Creare un nuovo documento." ma:contentTypeScope="" ma:versionID="fe54866dd6b082e58ee532c964f2bed8">
  <xsd:schema xmlns:xsd="http://www.w3.org/2001/XMLSchema" xmlns:xs="http://www.w3.org/2001/XMLSchema" xmlns:p="http://schemas.microsoft.com/office/2006/metadata/properties" xmlns:ns2="8cf34061-b992-4e1b-98df-b372f1f37d98" xmlns:ns3="7074a71a-cff4-4d66-9cf4-090487a63615" targetNamespace="http://schemas.microsoft.com/office/2006/metadata/properties" ma:root="true" ma:fieldsID="3116d80c4024d82f35ae19a5fb72a600" ns2:_="" ns3:_="">
    <xsd:import namespace="8cf34061-b992-4e1b-98df-b372f1f37d98"/>
    <xsd:import namespace="7074a71a-cff4-4d66-9cf4-090487a636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34061-b992-4e1b-98df-b372f1f37d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Tag immagine" ma:readOnly="false" ma:fieldId="{5cf76f15-5ced-4ddc-b409-7134ff3c332f}" ma:taxonomyMulti="true" ma:sspId="362f017e-9f2d-41c4-8715-b264fee090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4a71a-cff4-4d66-9cf4-090487a6361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c34ef79-d1d5-40bb-a379-005a95234b3e}" ma:internalName="TaxCatchAll" ma:showField="CatchAllData" ma:web="7074a71a-cff4-4d66-9cf4-090487a636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091D83-54D8-4A05-B6B6-0B83852F0ABD}">
  <ds:schemaRefs>
    <ds:schemaRef ds:uri="http://schemas.microsoft.com/office/2006/metadata/properties"/>
    <ds:schemaRef ds:uri="http://schemas.microsoft.com/office/infopath/2007/PartnerControls"/>
    <ds:schemaRef ds:uri="8cf34061-b992-4e1b-98df-b372f1f37d98"/>
    <ds:schemaRef ds:uri="7074a71a-cff4-4d66-9cf4-090487a63615"/>
  </ds:schemaRefs>
</ds:datastoreItem>
</file>

<file path=customXml/itemProps2.xml><?xml version="1.0" encoding="utf-8"?>
<ds:datastoreItem xmlns:ds="http://schemas.openxmlformats.org/officeDocument/2006/customXml" ds:itemID="{9A226468-04B2-46AB-BFA5-1790F341D2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F274AA-FCE1-4A27-B94E-A7EACEBB8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34061-b992-4e1b-98df-b372f1f37d98"/>
    <ds:schemaRef ds:uri="7074a71a-cff4-4d66-9cf4-090487a636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GARA</vt:lpstr>
      <vt:lpstr>PUNTEGGIO TECNICO</vt:lpstr>
      <vt:lpstr>PUNTEGGIO ECONOMICO</vt:lpstr>
      <vt:lpstr>PUNTEGGIO TOTALE</vt:lpstr>
      <vt:lpstr>COST MODEL</vt:lpstr>
      <vt:lpstr>GIUSTIFICAZIONE</vt:lpstr>
      <vt:lpstr>MANODOPERA DA CCNL</vt:lpstr>
      <vt:lpstr>CCNL</vt:lpstr>
      <vt:lpstr>CCNL APPRENDISTI</vt:lpstr>
      <vt:lpstr>ONERI SICUREZZA</vt:lpstr>
      <vt:lpstr>ECONOMICA</vt:lpstr>
      <vt:lpstr>PROFILI PROFESSIONALI</vt:lpstr>
      <vt:lpstr>ALTRI REQUISITI</vt:lpstr>
      <vt:lpstr>OGGETTO FORNITURA E SERVIZI</vt:lpstr>
      <vt:lpstr>DICHIARAZIONE OFFERTA ECONOMICA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CaldarazzoG</dc:creator>
  <cp:keywords/>
  <dc:description/>
  <cp:lastModifiedBy>Matteo Rocchi</cp:lastModifiedBy>
  <cp:revision/>
  <dcterms:created xsi:type="dcterms:W3CDTF">2015-06-05T18:19:34Z</dcterms:created>
  <dcterms:modified xsi:type="dcterms:W3CDTF">2026-10-09T08:31:59Z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0x0101003302977E80251D468AE0BBE05730A52F</vt:lpwstr>
  </property>
  <property fmtid="{D5CDD505-2E9C-101B-9397-08002B2CF9AE}" pid="3" name="MediaServiceImageTags">
    <vt:lpwstr/>
  </property>
</Properties>
</file>